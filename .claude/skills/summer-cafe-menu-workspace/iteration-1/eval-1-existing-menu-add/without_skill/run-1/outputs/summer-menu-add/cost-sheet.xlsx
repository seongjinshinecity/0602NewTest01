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여름 신메뉴 원가표" sheetId="1" state="visible" r:id="rId1"/>
    <sheet xmlns:r="http://schemas.openxmlformats.org/officeDocument/2006/relationships" name="재료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B34F1B"/>
      </patternFill>
    </fill>
    <fill>
      <patternFill patternType="solid">
        <fgColor rgb="00FAF3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3" customWidth="1" min="5" max="5"/>
    <col width="12" customWidth="1" min="6" max="6"/>
    <col width="11" customWidth="1" min="7" max="7"/>
    <col width="9" customWidth="1" min="8" max="8"/>
  </cols>
  <sheetData>
    <row r="1" ht="24" customHeight="1">
      <c r="A1" s="1" t="inlineStr">
        <is>
          <t>메뉴</t>
        </is>
      </c>
      <c r="B1" s="1" t="inlineStr">
        <is>
          <t>구분</t>
        </is>
      </c>
      <c r="C1" s="1" t="inlineStr">
        <is>
          <t>재료 원가(원)</t>
        </is>
      </c>
      <c r="D1" s="1" t="inlineStr">
        <is>
          <t>부자재(컵·빨대 등)</t>
        </is>
      </c>
      <c r="E1" s="1" t="inlineStr">
        <is>
          <t>총 원가(원)</t>
        </is>
      </c>
      <c r="F1" s="1" t="inlineStr">
        <is>
          <t>판매가(원)</t>
        </is>
      </c>
      <c r="G1" s="1" t="inlineStr">
        <is>
          <t>마진(원)</t>
        </is>
      </c>
      <c r="H1" s="1" t="inlineStr">
        <is>
          <t>원가율</t>
        </is>
      </c>
    </row>
    <row r="2">
      <c r="A2" s="2" t="inlineStr">
        <is>
          <t>아이스 크림 콜드브루</t>
        </is>
      </c>
      <c r="B2" s="2" t="inlineStr">
        <is>
          <t>커피 · SUMMER</t>
        </is>
      </c>
      <c r="C2" s="3" t="n">
        <v>1250</v>
      </c>
      <c r="D2" s="3" t="n">
        <v>200</v>
      </c>
      <c r="E2" s="3">
        <f>C2+D2</f>
        <v/>
      </c>
      <c r="F2" s="3" t="n">
        <v>5800</v>
      </c>
      <c r="G2" s="3">
        <f>F2-E2</f>
        <v/>
      </c>
      <c r="H2" s="4">
        <f>E2/F2</f>
        <v/>
      </c>
    </row>
    <row r="3">
      <c r="A3" s="2" t="inlineStr">
        <is>
          <t>콜드브루 토닉</t>
        </is>
      </c>
      <c r="B3" s="2" t="inlineStr">
        <is>
          <t>커피 · SUMMER</t>
        </is>
      </c>
      <c r="C3" s="3" t="n">
        <v>1100</v>
      </c>
      <c r="D3" s="3" t="n">
        <v>200</v>
      </c>
      <c r="E3" s="3">
        <f>C3+D3</f>
        <v/>
      </c>
      <c r="F3" s="3" t="n">
        <v>5500</v>
      </c>
      <c r="G3" s="3">
        <f>F3-E3</f>
        <v/>
      </c>
      <c r="H3" s="4">
        <f>E3/F3</f>
        <v/>
      </c>
    </row>
    <row r="4">
      <c r="A4" s="2" t="inlineStr">
        <is>
          <t>제주 청귤 에이드</t>
        </is>
      </c>
      <c r="B4" s="2" t="inlineStr">
        <is>
          <t>논커피 · SUMMER</t>
        </is>
      </c>
      <c r="C4" s="3" t="n">
        <v>1050</v>
      </c>
      <c r="D4" s="3" t="n">
        <v>200</v>
      </c>
      <c r="E4" s="3">
        <f>C4+D4</f>
        <v/>
      </c>
      <c r="F4" s="3" t="n">
        <v>5500</v>
      </c>
      <c r="G4" s="3">
        <f>F4-E4</f>
        <v/>
      </c>
      <c r="H4" s="4">
        <f>E4/F4</f>
        <v/>
      </c>
    </row>
    <row r="5">
      <c r="A5" s="2" t="inlineStr">
        <is>
          <t>수박 주스</t>
        </is>
      </c>
      <c r="B5" s="2" t="inlineStr">
        <is>
          <t>논커피 · SUMMER</t>
        </is>
      </c>
      <c r="C5" s="3" t="n">
        <v>1400</v>
      </c>
      <c r="D5" s="3" t="n">
        <v>200</v>
      </c>
      <c r="E5" s="3">
        <f>C5+D5</f>
        <v/>
      </c>
      <c r="F5" s="3" t="n">
        <v>5800</v>
      </c>
      <c r="G5" s="3">
        <f>F5-E5</f>
        <v/>
      </c>
      <c r="H5" s="4">
        <f>E5/F5</f>
        <v/>
      </c>
    </row>
    <row r="6">
      <c r="A6" s="2" t="inlineStr">
        <is>
          <t>망고 코코넛 스무디</t>
        </is>
      </c>
      <c r="B6" s="2" t="inlineStr">
        <is>
          <t>논커피 · SUMMER</t>
        </is>
      </c>
      <c r="C6" s="3" t="n">
        <v>1700</v>
      </c>
      <c r="D6" s="3" t="n">
        <v>200</v>
      </c>
      <c r="E6" s="3">
        <f>C6+D6</f>
        <v/>
      </c>
      <c r="F6" s="3" t="n">
        <v>6000</v>
      </c>
      <c r="G6" s="3">
        <f>F6-E6</f>
        <v/>
      </c>
      <c r="H6" s="4">
        <f>E6/F6</f>
        <v/>
      </c>
    </row>
    <row r="7">
      <c r="A7" s="2" t="inlineStr">
        <is>
          <t>레몬 커드 크루아상</t>
        </is>
      </c>
      <c r="B7" s="2" t="inlineStr">
        <is>
          <t>베이커리 · SUMMER</t>
        </is>
      </c>
      <c r="C7" s="3" t="n">
        <v>1650</v>
      </c>
      <c r="D7" s="3" t="n">
        <v>100</v>
      </c>
      <c r="E7" s="3">
        <f>C7+D7</f>
        <v/>
      </c>
      <c r="F7" s="3" t="n">
        <v>5800</v>
      </c>
      <c r="G7" s="3">
        <f>F7-E7</f>
        <v/>
      </c>
      <c r="H7" s="4">
        <f>E7/F7</f>
        <v/>
      </c>
    </row>
    <row r="8">
      <c r="A8" s="5" t="inlineStr">
        <is>
          <t>평균</t>
        </is>
      </c>
      <c r="B8" s="5" t="n"/>
      <c r="C8" s="6" t="n"/>
      <c r="D8" s="6" t="n"/>
      <c r="E8" s="7">
        <f>AVERAGE(E2:E7)</f>
        <v/>
      </c>
      <c r="F8" s="7">
        <f>AVERAGE(F2:F7)</f>
        <v/>
      </c>
      <c r="G8" s="7">
        <f>AVERAGE(G2:G7)</f>
        <v/>
      </c>
      <c r="H8" s="8">
        <f>AVERAGE(H2:H7)</f>
        <v/>
      </c>
    </row>
    <row r="10">
      <c r="A10" s="9" t="inlineStr">
        <is>
          <t>※ 재료 원가는 소매가 기준 추정치. 실제 납품가 확정 후 C열만 수정하면 원가율이 자동 재계산됨.</t>
        </is>
      </c>
    </row>
    <row r="11">
      <c r="A11" s="9" t="inlineStr">
        <is>
          <t>※ 카페 음료 권장 원가율 35% 이내 — 전 메뉴 충족.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4" customWidth="1" min="4" max="4"/>
  </cols>
  <sheetData>
    <row r="1">
      <c r="A1" s="10" t="inlineStr">
        <is>
          <t>메뉴</t>
        </is>
      </c>
      <c r="B1" s="10" t="inlineStr">
        <is>
          <t>재료</t>
        </is>
      </c>
      <c r="C1" s="10" t="inlineStr">
        <is>
          <t>사용량</t>
        </is>
      </c>
      <c r="D1" s="10" t="inlineStr">
        <is>
          <t>추정 단가(원)</t>
        </is>
      </c>
    </row>
    <row r="2">
      <c r="A2" s="2" t="inlineStr">
        <is>
          <t>아이스 크림 콜드브루</t>
        </is>
      </c>
      <c r="B2" s="2" t="inlineStr">
        <is>
          <t>콜드브루 원액</t>
        </is>
      </c>
      <c r="C2" s="2" t="inlineStr">
        <is>
          <t>60ml</t>
        </is>
      </c>
      <c r="D2" s="3" t="n">
        <v>500</v>
      </c>
    </row>
    <row r="3">
      <c r="A3" s="2" t="inlineStr">
        <is>
          <t>아이스 크림 콜드브루</t>
        </is>
      </c>
      <c r="B3" s="2" t="inlineStr">
        <is>
          <t>생크림</t>
        </is>
      </c>
      <c r="C3" s="2" t="inlineStr">
        <is>
          <t>60ml</t>
        </is>
      </c>
      <c r="D3" s="3" t="n">
        <v>400</v>
      </c>
    </row>
    <row r="4">
      <c r="A4" s="2" t="inlineStr">
        <is>
          <t>아이스 크림 콜드브루</t>
        </is>
      </c>
      <c r="B4" s="2" t="inlineStr">
        <is>
          <t>우유·바닐라시럽·설탕</t>
        </is>
      </c>
      <c r="C4" s="2" t="inlineStr">
        <is>
          <t>1회분</t>
        </is>
      </c>
      <c r="D4" s="3" t="n">
        <v>350</v>
      </c>
    </row>
    <row r="5">
      <c r="A5" s="2" t="inlineStr">
        <is>
          <t>콜드브루 토닉</t>
        </is>
      </c>
      <c r="B5" s="2" t="inlineStr">
        <is>
          <t>콜드브루 원액</t>
        </is>
      </c>
      <c r="C5" s="2" t="inlineStr">
        <is>
          <t>60ml</t>
        </is>
      </c>
      <c r="D5" s="3" t="n">
        <v>500</v>
      </c>
    </row>
    <row r="6">
      <c r="A6" s="2" t="inlineStr">
        <is>
          <t>콜드브루 토닉</t>
        </is>
      </c>
      <c r="B6" s="2" t="inlineStr">
        <is>
          <t>토닉워터</t>
        </is>
      </c>
      <c r="C6" s="2" t="inlineStr">
        <is>
          <t>200ml</t>
        </is>
      </c>
      <c r="D6" s="3" t="n">
        <v>450</v>
      </c>
    </row>
    <row r="7">
      <c r="A7" s="2" t="inlineStr">
        <is>
          <t>콜드브루 토닉</t>
        </is>
      </c>
      <c r="B7" s="2" t="inlineStr">
        <is>
          <t>라임</t>
        </is>
      </c>
      <c r="C7" s="2" t="inlineStr">
        <is>
          <t>슬라이스 1</t>
        </is>
      </c>
      <c r="D7" s="3" t="n">
        <v>150</v>
      </c>
    </row>
    <row r="8">
      <c r="A8" s="2" t="inlineStr">
        <is>
          <t>제주 청귤 에이드</t>
        </is>
      </c>
      <c r="B8" s="2" t="inlineStr">
        <is>
          <t>청귤청</t>
        </is>
      </c>
      <c r="C8" s="2" t="inlineStr">
        <is>
          <t>50g</t>
        </is>
      </c>
      <c r="D8" s="3" t="n">
        <v>650</v>
      </c>
    </row>
    <row r="9">
      <c r="A9" s="2" t="inlineStr">
        <is>
          <t>제주 청귤 에이드</t>
        </is>
      </c>
      <c r="B9" s="2" t="inlineStr">
        <is>
          <t>탄산수</t>
        </is>
      </c>
      <c r="C9" s="2" t="inlineStr">
        <is>
          <t>250ml</t>
        </is>
      </c>
      <c r="D9" s="3" t="n">
        <v>300</v>
      </c>
    </row>
    <row r="10">
      <c r="A10" s="2" t="inlineStr">
        <is>
          <t>제주 청귤 에이드</t>
        </is>
      </c>
      <c r="B10" s="2" t="inlineStr">
        <is>
          <t>애플민트·가니시</t>
        </is>
      </c>
      <c r="C10" s="2" t="inlineStr">
        <is>
          <t>1회분</t>
        </is>
      </c>
      <c r="D10" s="3" t="n">
        <v>100</v>
      </c>
    </row>
    <row r="11">
      <c r="A11" s="2" t="inlineStr">
        <is>
          <t>수박 주스</t>
        </is>
      </c>
      <c r="B11" s="2" t="inlineStr">
        <is>
          <t>수박 과육</t>
        </is>
      </c>
      <c r="C11" s="2" t="inlineStr">
        <is>
          <t>350g</t>
        </is>
      </c>
      <c r="D11" s="3" t="n">
        <v>1400</v>
      </c>
    </row>
    <row r="12">
      <c r="A12" s="2" t="inlineStr">
        <is>
          <t>망고 코코넛 스무디</t>
        </is>
      </c>
      <c r="B12" s="2" t="inlineStr">
        <is>
          <t>냉동망고</t>
        </is>
      </c>
      <c r="C12" s="2" t="inlineStr">
        <is>
          <t>150g</t>
        </is>
      </c>
      <c r="D12" s="3" t="n">
        <v>900</v>
      </c>
    </row>
    <row r="13">
      <c r="A13" s="2" t="inlineStr">
        <is>
          <t>망고 코코넛 스무디</t>
        </is>
      </c>
      <c r="B13" s="2" t="inlineStr">
        <is>
          <t>코코넛밀크</t>
        </is>
      </c>
      <c r="C13" s="2" t="inlineStr">
        <is>
          <t>100ml</t>
        </is>
      </c>
      <c r="D13" s="3" t="n">
        <v>500</v>
      </c>
    </row>
    <row r="14">
      <c r="A14" s="2" t="inlineStr">
        <is>
          <t>망고 코코넛 스무디</t>
        </is>
      </c>
      <c r="B14" s="2" t="inlineStr">
        <is>
          <t>요거트·시럽</t>
        </is>
      </c>
      <c r="C14" s="2" t="inlineStr">
        <is>
          <t>1회분</t>
        </is>
      </c>
      <c r="D14" s="3" t="n">
        <v>300</v>
      </c>
    </row>
    <row r="15">
      <c r="A15" s="2" t="inlineStr">
        <is>
          <t>레몬 커드 크루아상</t>
        </is>
      </c>
      <c r="B15" s="2" t="inlineStr">
        <is>
          <t>크루아상</t>
        </is>
      </c>
      <c r="C15" s="2" t="inlineStr">
        <is>
          <t>1개</t>
        </is>
      </c>
      <c r="D15" s="3" t="n">
        <v>1300</v>
      </c>
    </row>
    <row r="16">
      <c r="A16" s="2" t="inlineStr">
        <is>
          <t>레몬 커드 크루아상</t>
        </is>
      </c>
      <c r="B16" s="2" t="inlineStr">
        <is>
          <t>레몬 커드</t>
        </is>
      </c>
      <c r="C16" s="2" t="inlineStr">
        <is>
          <t>40g</t>
        </is>
      </c>
      <c r="D16" s="3" t="n">
        <v>300</v>
      </c>
    </row>
    <row r="17">
      <c r="A17" s="2" t="inlineStr">
        <is>
          <t>레몬 커드 크루아상</t>
        </is>
      </c>
      <c r="B17" s="2" t="inlineStr">
        <is>
          <t>슈가파우더·제스트</t>
        </is>
      </c>
      <c r="C17" s="2" t="inlineStr">
        <is>
          <t>1회분</t>
        </is>
      </c>
      <c r="D17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2026-07-07T12:20:15Z</dcterms:created>
  <dcterms:modified xmlns:dcterms="http://purl.org/dc/terms/" xmlns:xsi="http://www.w3.org/2001/XMLSchema-instance" xsi:type="dcterms:W3CDTF">2026-07-07T12:20:15Z</dcterms:modified>
</cp:coreProperties>
</file>