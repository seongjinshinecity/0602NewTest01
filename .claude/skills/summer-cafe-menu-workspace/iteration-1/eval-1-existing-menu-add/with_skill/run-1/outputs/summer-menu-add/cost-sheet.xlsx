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 요약" sheetId="1" state="visible" r:id="rId1"/>
    <sheet xmlns:r="http://schemas.openxmlformats.org/officeDocument/2006/relationships" name="재료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B6CA8"/>
      </patternFill>
    </fill>
    <fill>
      <patternFill patternType="solid">
        <fgColor rgb="00E8F1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우리 카페 여름 시즌 메뉴 여름 메뉴 원가표</t>
        </is>
      </c>
    </row>
    <row r="3">
      <c r="A3" s="2" t="inlineStr">
        <is>
          <t>분류</t>
        </is>
      </c>
      <c r="B3" s="2" t="inlineStr">
        <is>
          <t>메뉴명</t>
        </is>
      </c>
      <c r="C3" s="2" t="inlineStr">
        <is>
          <t>판매가</t>
        </is>
      </c>
      <c r="D3" s="2" t="inlineStr">
        <is>
          <t>재료 원가</t>
        </is>
      </c>
      <c r="E3" s="2" t="inlineStr">
        <is>
          <t>원가율</t>
        </is>
      </c>
      <c r="F3" s="2" t="inlineStr">
        <is>
          <t>마진</t>
        </is>
      </c>
    </row>
    <row r="4">
      <c r="A4" s="3" t="inlineStr">
        <is>
          <t>시즌 커피</t>
        </is>
      </c>
      <c r="B4" s="3" t="inlineStr">
        <is>
          <t>카페 토닉</t>
        </is>
      </c>
      <c r="C4" s="4" t="n">
        <v>5500</v>
      </c>
      <c r="D4" s="4" t="n">
        <v>1440</v>
      </c>
      <c r="E4" s="5" t="n">
        <v>0.2618181818181818</v>
      </c>
      <c r="F4" s="4" t="n">
        <v>4060</v>
      </c>
    </row>
    <row r="5">
      <c r="A5" s="3" t="inlineStr">
        <is>
          <t>시즌 커피</t>
        </is>
      </c>
      <c r="B5" s="3" t="inlineStr">
        <is>
          <t>돌체 아이스라떼</t>
        </is>
      </c>
      <c r="C5" s="4" t="n">
        <v>5800</v>
      </c>
      <c r="D5" s="4" t="n">
        <v>1590</v>
      </c>
      <c r="E5" s="5" t="n">
        <v>0.2741379310344828</v>
      </c>
      <c r="F5" s="4" t="n">
        <v>4210</v>
      </c>
    </row>
    <row r="6">
      <c r="A6" s="3" t="inlineStr">
        <is>
          <t>에이드·스무디</t>
        </is>
      </c>
      <c r="B6" s="3" t="inlineStr">
        <is>
          <t>청포도 에이드</t>
        </is>
      </c>
      <c r="C6" s="4" t="n">
        <v>6000</v>
      </c>
      <c r="D6" s="4" t="n">
        <v>1780</v>
      </c>
      <c r="E6" s="5" t="n">
        <v>0.2966666666666667</v>
      </c>
      <c r="F6" s="4" t="n">
        <v>4220</v>
      </c>
    </row>
    <row r="7">
      <c r="A7" s="3" t="inlineStr">
        <is>
          <t>에이드·스무디</t>
        </is>
      </c>
      <c r="B7" s="3" t="inlineStr">
        <is>
          <t>망고 요거트 스무디</t>
        </is>
      </c>
      <c r="C7" s="4" t="n">
        <v>6800</v>
      </c>
      <c r="D7" s="4" t="n">
        <v>2010</v>
      </c>
      <c r="E7" s="5" t="n">
        <v>0.2955882352941177</v>
      </c>
      <c r="F7" s="4" t="n">
        <v>4790</v>
      </c>
    </row>
    <row r="8">
      <c r="A8" s="3" t="inlineStr">
        <is>
          <t>시즌 디저트</t>
        </is>
      </c>
      <c r="B8" s="3" t="inlineStr">
        <is>
          <t>아이스크림 크루아상</t>
        </is>
      </c>
      <c r="C8" s="4" t="n">
        <v>6800</v>
      </c>
      <c r="D8" s="4" t="n">
        <v>2330</v>
      </c>
      <c r="E8" s="5" t="n">
        <v>0.3426470588235294</v>
      </c>
      <c r="F8" s="4" t="n">
        <v>4470</v>
      </c>
    </row>
    <row r="9">
      <c r="A9" s="3" t="inlineStr">
        <is>
          <t>시즌 디저트</t>
        </is>
      </c>
      <c r="B9" s="3" t="inlineStr">
        <is>
          <t>레몬 파운드 케이크</t>
        </is>
      </c>
      <c r="C9" s="4" t="n">
        <v>5500</v>
      </c>
      <c r="D9" s="4" t="n">
        <v>1950</v>
      </c>
      <c r="E9" s="5" t="n">
        <v>0.3545454545454546</v>
      </c>
      <c r="F9" s="4" t="n">
        <v>3550</v>
      </c>
    </row>
    <row r="11">
      <c r="B11" s="6" t="inlineStr">
        <is>
          <t>평균</t>
        </is>
      </c>
      <c r="C11" s="7">
        <f>AVERAGE(C4:C9)</f>
        <v/>
      </c>
      <c r="D11" s="7">
        <f>AVERAGE(D4:D9)</f>
        <v/>
      </c>
      <c r="E11" s="8">
        <f>AVERAGE(E4:E9)</f>
        <v/>
      </c>
      <c r="F11" s="7">
        <f>AVERAGE(F4:F9)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</cols>
  <sheetData>
    <row r="1">
      <c r="A1" s="2" t="inlineStr">
        <is>
          <t>메뉴명</t>
        </is>
      </c>
      <c r="B1" s="2" t="inlineStr">
        <is>
          <t>재료</t>
        </is>
      </c>
      <c r="C1" s="2" t="inlineStr">
        <is>
          <t>원가</t>
        </is>
      </c>
    </row>
    <row r="2">
      <c r="A2" s="9" t="inlineStr">
        <is>
          <t>카페 토닉</t>
        </is>
      </c>
      <c r="B2" s="3" t="inlineStr">
        <is>
          <t>에스프레소 2샷 (원두 18g)</t>
        </is>
      </c>
      <c r="C2" s="4" t="n">
        <v>540</v>
      </c>
    </row>
    <row r="3">
      <c r="A3" s="10" t="n"/>
      <c r="B3" s="3" t="inlineStr">
        <is>
          <t>토닉워터 150ml</t>
        </is>
      </c>
      <c r="C3" s="4" t="n">
        <v>500</v>
      </c>
    </row>
    <row r="4">
      <c r="A4" s="10" t="n"/>
      <c r="B4" s="3" t="inlineStr">
        <is>
          <t>레몬 슬라이스 1개</t>
        </is>
      </c>
      <c r="C4" s="4" t="n">
        <v>100</v>
      </c>
    </row>
    <row r="5">
      <c r="A5" s="10" t="n"/>
      <c r="B5" s="3" t="inlineStr">
        <is>
          <t>얼음</t>
        </is>
      </c>
      <c r="C5" s="4" t="n">
        <v>50</v>
      </c>
    </row>
    <row r="6">
      <c r="A6" s="10" t="n"/>
      <c r="B6" s="3" t="inlineStr">
        <is>
          <t>컵·빨대·부자재</t>
        </is>
      </c>
      <c r="C6" s="4" t="n">
        <v>250</v>
      </c>
    </row>
    <row r="7">
      <c r="A7" s="9" t="inlineStr">
        <is>
          <t>돌체 아이스라떼</t>
        </is>
      </c>
      <c r="B7" s="3" t="inlineStr">
        <is>
          <t>에스프레소 2샷 (원두 18g)</t>
        </is>
      </c>
      <c r="C7" s="4" t="n">
        <v>540</v>
      </c>
    </row>
    <row r="8">
      <c r="A8" s="10" t="n"/>
      <c r="B8" s="3" t="inlineStr">
        <is>
          <t>우유 150ml</t>
        </is>
      </c>
      <c r="C8" s="4" t="n">
        <v>450</v>
      </c>
    </row>
    <row r="9">
      <c r="A9" s="10" t="n"/>
      <c r="B9" s="3" t="inlineStr">
        <is>
          <t>연유 30g</t>
        </is>
      </c>
      <c r="C9" s="4" t="n">
        <v>300</v>
      </c>
    </row>
    <row r="10">
      <c r="A10" s="10" t="n"/>
      <c r="B10" s="3" t="inlineStr">
        <is>
          <t>얼음</t>
        </is>
      </c>
      <c r="C10" s="4" t="n">
        <v>50</v>
      </c>
    </row>
    <row r="11">
      <c r="A11" s="10" t="n"/>
      <c r="B11" s="3" t="inlineStr">
        <is>
          <t>컵·빨대·부자재</t>
        </is>
      </c>
      <c r="C11" s="4" t="n">
        <v>250</v>
      </c>
    </row>
    <row r="12">
      <c r="A12" s="9" t="inlineStr">
        <is>
          <t>청포도 에이드</t>
        </is>
      </c>
      <c r="B12" s="3" t="inlineStr">
        <is>
          <t>청포도청 60g</t>
        </is>
      </c>
      <c r="C12" s="4" t="n">
        <v>900</v>
      </c>
    </row>
    <row r="13">
      <c r="A13" s="10" t="n"/>
      <c r="B13" s="3" t="inlineStr">
        <is>
          <t>레몬즙 10ml</t>
        </is>
      </c>
      <c r="C13" s="4" t="n">
        <v>130</v>
      </c>
    </row>
    <row r="14">
      <c r="A14" s="10" t="n"/>
      <c r="B14" s="3" t="inlineStr">
        <is>
          <t>탄산수 200ml</t>
        </is>
      </c>
      <c r="C14" s="4" t="n">
        <v>350</v>
      </c>
    </row>
    <row r="15">
      <c r="A15" s="10" t="n"/>
      <c r="B15" s="3" t="inlineStr">
        <is>
          <t>애플민트 1줄기</t>
        </is>
      </c>
      <c r="C15" s="4" t="n">
        <v>100</v>
      </c>
    </row>
    <row r="16">
      <c r="A16" s="10" t="n"/>
      <c r="B16" s="3" t="inlineStr">
        <is>
          <t>얼음</t>
        </is>
      </c>
      <c r="C16" s="4" t="n">
        <v>50</v>
      </c>
    </row>
    <row r="17">
      <c r="A17" s="10" t="n"/>
      <c r="B17" s="3" t="inlineStr">
        <is>
          <t>컵·빨대·부자재</t>
        </is>
      </c>
      <c r="C17" s="4" t="n">
        <v>250</v>
      </c>
    </row>
    <row r="18">
      <c r="A18" s="9" t="inlineStr">
        <is>
          <t>망고 요거트 스무디</t>
        </is>
      </c>
      <c r="B18" s="3" t="inlineStr">
        <is>
          <t>냉동 망고 100g</t>
        </is>
      </c>
      <c r="C18" s="4" t="n">
        <v>900</v>
      </c>
    </row>
    <row r="19">
      <c r="A19" s="10" t="n"/>
      <c r="B19" s="3" t="inlineStr">
        <is>
          <t>요거트 파우더 30g</t>
        </is>
      </c>
      <c r="C19" s="4" t="n">
        <v>450</v>
      </c>
    </row>
    <row r="20">
      <c r="A20" s="10" t="n"/>
      <c r="B20" s="3" t="inlineStr">
        <is>
          <t>우유 100ml</t>
        </is>
      </c>
      <c r="C20" s="4" t="n">
        <v>300</v>
      </c>
    </row>
    <row r="21">
      <c r="A21" s="10" t="n"/>
      <c r="B21" s="3" t="inlineStr">
        <is>
          <t>얼음 120g</t>
        </is>
      </c>
      <c r="C21" s="4" t="n">
        <v>60</v>
      </c>
    </row>
    <row r="22">
      <c r="A22" s="10" t="n"/>
      <c r="B22" s="3" t="inlineStr">
        <is>
          <t>컵·빨대·부자재</t>
        </is>
      </c>
      <c r="C22" s="4" t="n">
        <v>300</v>
      </c>
    </row>
    <row r="23">
      <c r="A23" s="9" t="inlineStr">
        <is>
          <t>아이스크림 크루아상</t>
        </is>
      </c>
      <c r="B23" s="3" t="inlineStr">
        <is>
          <t>크루아상 1개 (기존 제품 원가)</t>
        </is>
      </c>
      <c r="C23" s="4" t="n">
        <v>1300</v>
      </c>
    </row>
    <row r="24">
      <c r="A24" s="10" t="n"/>
      <c r="B24" s="3" t="inlineStr">
        <is>
          <t>바닐라 아이스크림 90g</t>
        </is>
      </c>
      <c r="C24" s="4" t="n">
        <v>700</v>
      </c>
    </row>
    <row r="25">
      <c r="A25" s="10" t="n"/>
      <c r="B25" s="3" t="inlineStr">
        <is>
          <t>메이플시럽 10g</t>
        </is>
      </c>
      <c r="C25" s="4" t="n">
        <v>100</v>
      </c>
    </row>
    <row r="26">
      <c r="A26" s="10" t="n"/>
      <c r="B26" s="3" t="inlineStr">
        <is>
          <t>슈가파우더</t>
        </is>
      </c>
      <c r="C26" s="4" t="n">
        <v>30</v>
      </c>
    </row>
    <row r="27">
      <c r="A27" s="10" t="n"/>
      <c r="B27" s="3" t="inlineStr">
        <is>
          <t>접시·냅킨·부자재</t>
        </is>
      </c>
      <c r="C27" s="4" t="n">
        <v>200</v>
      </c>
    </row>
    <row r="28">
      <c r="A28" s="9" t="inlineStr">
        <is>
          <t>레몬 파운드 케이크</t>
        </is>
      </c>
      <c r="B28" s="3" t="inlineStr">
        <is>
          <t>레몬 파운드 케이크 1조각 (완제품 납품가)</t>
        </is>
      </c>
      <c r="C28" s="4" t="n">
        <v>1700</v>
      </c>
    </row>
    <row r="29">
      <c r="A29" s="10" t="n"/>
      <c r="B29" s="3" t="inlineStr">
        <is>
          <t>레몬 제스트·슈가파우더</t>
        </is>
      </c>
      <c r="C29" s="4" t="n">
        <v>50</v>
      </c>
    </row>
    <row r="30">
      <c r="A30" s="10" t="n"/>
      <c r="B30" s="3" t="inlineStr">
        <is>
          <t>접시·냅킨·부자재</t>
        </is>
      </c>
      <c r="C30" s="4" t="n">
        <v>200</v>
      </c>
    </row>
  </sheetData>
  <mergeCells count="6">
    <mergeCell ref="A18:A22"/>
    <mergeCell ref="A12:A17"/>
    <mergeCell ref="A28:A30"/>
    <mergeCell ref="A2:A6"/>
    <mergeCell ref="A7:A11"/>
    <mergeCell ref="A23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2026-07-07T12:20:09Z</dcterms:created>
  <dcterms:modified xmlns:dcterms="http://purl.org/dc/terms/" xmlns:xsi="http://www.w3.org/2001/XMLSchema-instance" xsi:type="dcterms:W3CDTF">2026-07-07T12:20:09Z</dcterms:modified>
</cp:coreProperties>
</file>