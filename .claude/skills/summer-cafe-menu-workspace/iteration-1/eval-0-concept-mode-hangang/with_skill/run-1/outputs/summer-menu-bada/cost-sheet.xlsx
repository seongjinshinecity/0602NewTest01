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 요약" sheetId="1" state="visible" r:id="rId1"/>
    <sheet xmlns:r="http://schemas.openxmlformats.org/officeDocument/2006/relationships" name="재료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B6CA8"/>
      </patternFill>
    </fill>
    <fill>
      <patternFill patternType="solid">
        <fgColor rgb="00E8F1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청량한 바다 여름 메뉴 원가표</t>
        </is>
      </c>
    </row>
    <row r="3">
      <c r="A3" s="2" t="inlineStr">
        <is>
          <t>분류</t>
        </is>
      </c>
      <c r="B3" s="2" t="inlineStr">
        <is>
          <t>메뉴명</t>
        </is>
      </c>
      <c r="C3" s="2" t="inlineStr">
        <is>
          <t>판매가</t>
        </is>
      </c>
      <c r="D3" s="2" t="inlineStr">
        <is>
          <t>재료 원가</t>
        </is>
      </c>
      <c r="E3" s="2" t="inlineStr">
        <is>
          <t>원가율</t>
        </is>
      </c>
      <c r="F3" s="2" t="inlineStr">
        <is>
          <t>마진</t>
        </is>
      </c>
    </row>
    <row r="4">
      <c r="A4" s="3" t="inlineStr">
        <is>
          <t>커피</t>
        </is>
      </c>
      <c r="B4" s="3" t="inlineStr">
        <is>
          <t>딥블루 라떼</t>
        </is>
      </c>
      <c r="C4" s="4" t="n">
        <v>6000</v>
      </c>
      <c r="D4" s="4" t="n">
        <v>1670</v>
      </c>
      <c r="E4" s="5" t="n">
        <v>0.2783333333333333</v>
      </c>
      <c r="F4" s="4" t="n">
        <v>4330</v>
      </c>
    </row>
    <row r="5">
      <c r="A5" s="3" t="inlineStr">
        <is>
          <t>커피</t>
        </is>
      </c>
      <c r="B5" s="3" t="inlineStr">
        <is>
          <t>파도 소금크림 아인슈페너</t>
        </is>
      </c>
      <c r="C5" s="4" t="n">
        <v>6500</v>
      </c>
      <c r="D5" s="4" t="n">
        <v>1590</v>
      </c>
      <c r="E5" s="5" t="n">
        <v>0.2446153846153846</v>
      </c>
      <c r="F5" s="4" t="n">
        <v>4910</v>
      </c>
    </row>
    <row r="6">
      <c r="A6" s="3" t="inlineStr">
        <is>
          <t>논커피</t>
        </is>
      </c>
      <c r="B6" s="3" t="inlineStr">
        <is>
          <t>블루 하와이 에이드</t>
        </is>
      </c>
      <c r="C6" s="4" t="n">
        <v>6500</v>
      </c>
      <c r="D6" s="4" t="n">
        <v>1400</v>
      </c>
      <c r="E6" s="5" t="n">
        <v>0.2153846153846154</v>
      </c>
      <c r="F6" s="4" t="n">
        <v>5100</v>
      </c>
    </row>
    <row r="7">
      <c r="A7" s="3" t="inlineStr">
        <is>
          <t>논커피</t>
        </is>
      </c>
      <c r="B7" s="3" t="inlineStr">
        <is>
          <t>청귤 민트 에이드</t>
        </is>
      </c>
      <c r="C7" s="4" t="n">
        <v>6500</v>
      </c>
      <c r="D7" s="4" t="n">
        <v>1500</v>
      </c>
      <c r="E7" s="5" t="n">
        <v>0.2307692307692308</v>
      </c>
      <c r="F7" s="4" t="n">
        <v>5000</v>
      </c>
    </row>
    <row r="8">
      <c r="A8" s="3" t="inlineStr">
        <is>
          <t>논커피</t>
        </is>
      </c>
      <c r="B8" s="3" t="inlineStr">
        <is>
          <t>코코 파도 스무디</t>
        </is>
      </c>
      <c r="C8" s="4" t="n">
        <v>7000</v>
      </c>
      <c r="D8" s="4" t="n">
        <v>1750</v>
      </c>
      <c r="E8" s="5" t="n">
        <v>0.25</v>
      </c>
      <c r="F8" s="4" t="n">
        <v>5250</v>
      </c>
    </row>
    <row r="9">
      <c r="A9" s="3" t="inlineStr">
        <is>
          <t>논커피</t>
        </is>
      </c>
      <c r="B9" s="3" t="inlineStr">
        <is>
          <t>미드나잇 오션 티</t>
        </is>
      </c>
      <c r="C9" s="4" t="n">
        <v>5500</v>
      </c>
      <c r="D9" s="4" t="n">
        <v>1050</v>
      </c>
      <c r="E9" s="5" t="n">
        <v>0.1909090909090909</v>
      </c>
      <c r="F9" s="4" t="n">
        <v>4450</v>
      </c>
    </row>
    <row r="10">
      <c r="A10" s="3" t="inlineStr">
        <is>
          <t>디저트</t>
        </is>
      </c>
      <c r="B10" s="3" t="inlineStr">
        <is>
          <t>바다 파르페 컵</t>
        </is>
      </c>
      <c r="C10" s="4" t="n">
        <v>7500</v>
      </c>
      <c r="D10" s="4" t="n">
        <v>2240</v>
      </c>
      <c r="E10" s="5" t="n">
        <v>0.2986666666666667</v>
      </c>
      <c r="F10" s="4" t="n">
        <v>5260</v>
      </c>
    </row>
    <row r="11">
      <c r="A11" s="3" t="inlineStr">
        <is>
          <t>디저트</t>
        </is>
      </c>
      <c r="B11" s="3" t="inlineStr">
        <is>
          <t>소금빵 아이스크림 샌드</t>
        </is>
      </c>
      <c r="C11" s="4" t="n">
        <v>5500</v>
      </c>
      <c r="D11" s="4" t="n">
        <v>2050</v>
      </c>
      <c r="E11" s="5" t="n">
        <v>0.3727272727272727</v>
      </c>
      <c r="F11" s="4" t="n">
        <v>3450</v>
      </c>
    </row>
    <row r="13">
      <c r="B13" s="6" t="inlineStr">
        <is>
          <t>평균</t>
        </is>
      </c>
      <c r="C13" s="7">
        <f>AVERAGE(C4:C11)</f>
        <v/>
      </c>
      <c r="D13" s="7">
        <f>AVERAGE(D4:D11)</f>
        <v/>
      </c>
      <c r="E13" s="8">
        <f>AVERAGE(E4:E11)</f>
        <v/>
      </c>
      <c r="F13" s="7">
        <f>AVERAGE(F4:F11)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</cols>
  <sheetData>
    <row r="1">
      <c r="A1" s="2" t="inlineStr">
        <is>
          <t>메뉴명</t>
        </is>
      </c>
      <c r="B1" s="2" t="inlineStr">
        <is>
          <t>재료</t>
        </is>
      </c>
      <c r="C1" s="2" t="inlineStr">
        <is>
          <t>원가</t>
        </is>
      </c>
    </row>
    <row r="2">
      <c r="A2" s="9" t="inlineStr">
        <is>
          <t>딥블루 라떼</t>
        </is>
      </c>
      <c r="B2" s="3" t="inlineStr">
        <is>
          <t>에스프레소 2샷(원두 18g)</t>
        </is>
      </c>
      <c r="C2" s="4" t="n">
        <v>500</v>
      </c>
    </row>
    <row r="3">
      <c r="A3" s="10" t="n"/>
      <c r="B3" s="3" t="inlineStr">
        <is>
          <t>우유 180ml</t>
        </is>
      </c>
      <c r="C3" s="4" t="n">
        <v>300</v>
      </c>
    </row>
    <row r="4">
      <c r="A4" s="10" t="n"/>
      <c r="B4" s="3" t="inlineStr">
        <is>
          <t>코코넛 시럽 15ml</t>
        </is>
      </c>
      <c r="C4" s="4" t="n">
        <v>150</v>
      </c>
    </row>
    <row r="5">
      <c r="A5" s="10" t="n"/>
      <c r="B5" s="3" t="inlineStr">
        <is>
          <t>생크림 40ml</t>
        </is>
      </c>
      <c r="C5" s="4" t="n">
        <v>320</v>
      </c>
    </row>
    <row r="6">
      <c r="A6" s="10" t="n"/>
      <c r="B6" s="3" t="inlineStr">
        <is>
          <t>블루큐라소 시럽 10ml</t>
        </is>
      </c>
      <c r="C6" s="4" t="n">
        <v>100</v>
      </c>
    </row>
    <row r="7">
      <c r="A7" s="10" t="n"/>
      <c r="B7" s="3" t="inlineStr">
        <is>
          <t>컵·빨대·부자재</t>
        </is>
      </c>
      <c r="C7" s="4" t="n">
        <v>300</v>
      </c>
    </row>
    <row r="8">
      <c r="A8" s="9" t="inlineStr">
        <is>
          <t>파도 소금크림 아인슈페너</t>
        </is>
      </c>
      <c r="B8" s="3" t="inlineStr">
        <is>
          <t>콜드브루 원액 60ml</t>
        </is>
      </c>
      <c r="C8" s="4" t="n">
        <v>700</v>
      </c>
    </row>
    <row r="9">
      <c r="A9" s="10" t="n"/>
      <c r="B9" s="3" t="inlineStr">
        <is>
          <t>생크림 60ml</t>
        </is>
      </c>
      <c r="C9" s="4" t="n">
        <v>480</v>
      </c>
    </row>
    <row r="10">
      <c r="A10" s="10" t="n"/>
      <c r="B10" s="3" t="inlineStr">
        <is>
          <t>연유 15ml</t>
        </is>
      </c>
      <c r="C10" s="4" t="n">
        <v>100</v>
      </c>
    </row>
    <row r="11">
      <c r="A11" s="10" t="n"/>
      <c r="B11" s="3" t="inlineStr">
        <is>
          <t>소금 1g</t>
        </is>
      </c>
      <c r="C11" s="4" t="n">
        <v>10</v>
      </c>
    </row>
    <row r="12">
      <c r="A12" s="10" t="n"/>
      <c r="B12" s="3" t="inlineStr">
        <is>
          <t>컵·빨대·부자재</t>
        </is>
      </c>
      <c r="C12" s="4" t="n">
        <v>300</v>
      </c>
    </row>
    <row r="13">
      <c r="A13" s="9" t="inlineStr">
        <is>
          <t>블루 하와이 에이드</t>
        </is>
      </c>
      <c r="B13" s="3" t="inlineStr">
        <is>
          <t>블루큐라소 시럽 30ml</t>
        </is>
      </c>
      <c r="C13" s="4" t="n">
        <v>450</v>
      </c>
    </row>
    <row r="14">
      <c r="A14" s="10" t="n"/>
      <c r="B14" s="3" t="inlineStr">
        <is>
          <t>레몬즙 15ml</t>
        </is>
      </c>
      <c r="C14" s="4" t="n">
        <v>200</v>
      </c>
    </row>
    <row r="15">
      <c r="A15" s="10" t="n"/>
      <c r="B15" s="3" t="inlineStr">
        <is>
          <t>탄산수 200ml</t>
        </is>
      </c>
      <c r="C15" s="4" t="n">
        <v>300</v>
      </c>
    </row>
    <row r="16">
      <c r="A16" s="10" t="n"/>
      <c r="B16" s="3" t="inlineStr">
        <is>
          <t>레몬 슬라이스 1개</t>
        </is>
      </c>
      <c r="C16" s="4" t="n">
        <v>150</v>
      </c>
    </row>
    <row r="17">
      <c r="A17" s="10" t="n"/>
      <c r="B17" s="3" t="inlineStr">
        <is>
          <t>컵·빨대·부자재</t>
        </is>
      </c>
      <c r="C17" s="4" t="n">
        <v>300</v>
      </c>
    </row>
    <row r="18">
      <c r="A18" s="9" t="inlineStr">
        <is>
          <t>청귤 민트 에이드</t>
        </is>
      </c>
      <c r="B18" s="3" t="inlineStr">
        <is>
          <t>청귤청 50g</t>
        </is>
      </c>
      <c r="C18" s="4" t="n">
        <v>700</v>
      </c>
    </row>
    <row r="19">
      <c r="A19" s="10" t="n"/>
      <c r="B19" s="3" t="inlineStr">
        <is>
          <t>라임즙 10ml</t>
        </is>
      </c>
      <c r="C19" s="4" t="n">
        <v>100</v>
      </c>
    </row>
    <row r="20">
      <c r="A20" s="10" t="n"/>
      <c r="B20" s="3" t="inlineStr">
        <is>
          <t>탄산수 200ml</t>
        </is>
      </c>
      <c r="C20" s="4" t="n">
        <v>300</v>
      </c>
    </row>
    <row r="21">
      <c r="A21" s="10" t="n"/>
      <c r="B21" s="3" t="inlineStr">
        <is>
          <t>애플민트 3~4잎</t>
        </is>
      </c>
      <c r="C21" s="4" t="n">
        <v>100</v>
      </c>
    </row>
    <row r="22">
      <c r="A22" s="10" t="n"/>
      <c r="B22" s="3" t="inlineStr">
        <is>
          <t>컵·빨대·부자재</t>
        </is>
      </c>
      <c r="C22" s="4" t="n">
        <v>300</v>
      </c>
    </row>
    <row r="23">
      <c r="A23" s="9" t="inlineStr">
        <is>
          <t>코코 파도 스무디</t>
        </is>
      </c>
      <c r="B23" s="3" t="inlineStr">
        <is>
          <t>코코넛 밀크 100ml</t>
        </is>
      </c>
      <c r="C23" s="4" t="n">
        <v>500</v>
      </c>
    </row>
    <row r="24">
      <c r="A24" s="10" t="n"/>
      <c r="B24" s="3" t="inlineStr">
        <is>
          <t>냉동 파인애플 120g</t>
        </is>
      </c>
      <c r="C24" s="4" t="n">
        <v>700</v>
      </c>
    </row>
    <row r="25">
      <c r="A25" s="10" t="n"/>
      <c r="B25" s="3" t="inlineStr">
        <is>
          <t>바닐라 시럽 10ml</t>
        </is>
      </c>
      <c r="C25" s="4" t="n">
        <v>100</v>
      </c>
    </row>
    <row r="26">
      <c r="A26" s="10" t="n"/>
      <c r="B26" s="3" t="inlineStr">
        <is>
          <t>블루큐라소 시럽 15ml</t>
        </is>
      </c>
      <c r="C26" s="4" t="n">
        <v>150</v>
      </c>
    </row>
    <row r="27">
      <c r="A27" s="10" t="n"/>
      <c r="B27" s="3" t="inlineStr">
        <is>
          <t>컵·빨대·부자재</t>
        </is>
      </c>
      <c r="C27" s="4" t="n">
        <v>300</v>
      </c>
    </row>
    <row r="28">
      <c r="A28" s="9" t="inlineStr">
        <is>
          <t>미드나잇 오션 티</t>
        </is>
      </c>
      <c r="B28" s="3" t="inlineStr">
        <is>
          <t>버터플라이피 티백 1개</t>
        </is>
      </c>
      <c r="C28" s="4" t="n">
        <v>400</v>
      </c>
    </row>
    <row r="29">
      <c r="A29" s="10" t="n"/>
      <c r="B29" s="3" t="inlineStr">
        <is>
          <t>레몬 시럽 20ml</t>
        </is>
      </c>
      <c r="C29" s="4" t="n">
        <v>150</v>
      </c>
    </row>
    <row r="30">
      <c r="A30" s="10" t="n"/>
      <c r="B30" s="3" t="inlineStr">
        <is>
          <t>탄산수 100ml</t>
        </is>
      </c>
      <c r="C30" s="4" t="n">
        <v>150</v>
      </c>
    </row>
    <row r="31">
      <c r="A31" s="10" t="n"/>
      <c r="B31" s="3" t="inlineStr">
        <is>
          <t>컵·빨대·미니저그 부자재</t>
        </is>
      </c>
      <c r="C31" s="4" t="n">
        <v>350</v>
      </c>
    </row>
    <row r="32">
      <c r="A32" s="9" t="inlineStr">
        <is>
          <t>바다 파르페 컵</t>
        </is>
      </c>
      <c r="B32" s="3" t="inlineStr">
        <is>
          <t>블루 젤리 80g(사이다·시럽·젤라틴)</t>
        </is>
      </c>
      <c r="C32" s="4" t="n">
        <v>400</v>
      </c>
    </row>
    <row r="33">
      <c r="A33" s="10" t="n"/>
      <c r="B33" s="3" t="inlineStr">
        <is>
          <t>플레인 요거트 100g</t>
        </is>
      </c>
      <c r="C33" s="4" t="n">
        <v>600</v>
      </c>
    </row>
    <row r="34">
      <c r="A34" s="10" t="n"/>
      <c r="B34" s="3" t="inlineStr">
        <is>
          <t>생크림 30ml</t>
        </is>
      </c>
      <c r="C34" s="4" t="n">
        <v>240</v>
      </c>
    </row>
    <row r="35">
      <c r="A35" s="10" t="n"/>
      <c r="B35" s="3" t="inlineStr">
        <is>
          <t>꿀 10g</t>
        </is>
      </c>
      <c r="C35" s="4" t="n">
        <v>100</v>
      </c>
    </row>
    <row r="36">
      <c r="A36" s="10" t="n"/>
      <c r="B36" s="3" t="inlineStr">
        <is>
          <t>그래놀라 30g</t>
        </is>
      </c>
      <c r="C36" s="4" t="n">
        <v>400</v>
      </c>
    </row>
    <row r="37">
      <c r="A37" s="10" t="n"/>
      <c r="B37" s="3" t="inlineStr">
        <is>
          <t>코코넛 칩 5g</t>
        </is>
      </c>
      <c r="C37" s="4" t="n">
        <v>100</v>
      </c>
    </row>
    <row r="38">
      <c r="A38" s="10" t="n"/>
      <c r="B38" s="3" t="inlineStr">
        <is>
          <t>유리컵 대체 컵·스푼 부자재</t>
        </is>
      </c>
      <c r="C38" s="4" t="n">
        <v>400</v>
      </c>
    </row>
    <row r="39">
      <c r="A39" s="9" t="inlineStr">
        <is>
          <t>소금빵 아이스크림 샌드</t>
        </is>
      </c>
      <c r="B39" s="3" t="inlineStr">
        <is>
          <t>소금빵 1개(완제품 납품)</t>
        </is>
      </c>
      <c r="C39" s="4" t="n">
        <v>1200</v>
      </c>
    </row>
    <row r="40">
      <c r="A40" s="10" t="n"/>
      <c r="B40" s="3" t="inlineStr">
        <is>
          <t>바닐라 아이스크림 80g</t>
        </is>
      </c>
      <c r="C40" s="4" t="n">
        <v>600</v>
      </c>
    </row>
    <row r="41">
      <c r="A41" s="10" t="n"/>
      <c r="B41" s="3" t="inlineStr">
        <is>
          <t>꿀 5g</t>
        </is>
      </c>
      <c r="C41" s="4" t="n">
        <v>50</v>
      </c>
    </row>
    <row r="42">
      <c r="A42" s="10" t="n"/>
      <c r="B42" s="3" t="inlineStr">
        <is>
          <t>포장지·냅킨 부자재</t>
        </is>
      </c>
      <c r="C42" s="4" t="n">
        <v>200</v>
      </c>
    </row>
  </sheetData>
  <mergeCells count="8">
    <mergeCell ref="A32:A38"/>
    <mergeCell ref="A18:A22"/>
    <mergeCell ref="A8:A12"/>
    <mergeCell ref="A28:A31"/>
    <mergeCell ref="A2:A7"/>
    <mergeCell ref="A39:A42"/>
    <mergeCell ref="A13:A17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2026-07-07T12:20:12Z</dcterms:created>
  <dcterms:modified xmlns:dcterms="http://purl.org/dc/terms/" xmlns:xsi="http://www.w3.org/2001/XMLSchema-instance" xsi:type="dcterms:W3CDTF">2026-07-07T12:20:12Z</dcterms:modified>
</cp:coreProperties>
</file>