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" sheetId="1" state="visible" r:id="rId1"/>
    <sheet xmlns:r="http://schemas.openxmlformats.org/officeDocument/2006/relationships" name="운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#,##0.0&quot;원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55555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rgb="000563C1"/>
      <u val="single"/>
    </font>
    <font>
      <name val="Arial"/>
      <b val="1"/>
      <sz val="12"/>
    </font>
    <font>
      <name val="Arial"/>
      <b val="1"/>
      <color rgb="00FFFFFF"/>
      <sz val="14"/>
    </font>
    <font>
      <name val="Arial"/>
      <color rgb="0000800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1F1F1F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7" fillId="5" borderId="1" pivotButton="0" quotePrefix="0" xfId="0"/>
    <xf numFmtId="0" fontId="2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9" fontId="5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upang.com/vp/products/9210933178" TargetMode="External" Id="rId1"/><Relationship Type="http://schemas.openxmlformats.org/officeDocument/2006/relationships/hyperlink" Target="https://www.11st.co.kr/products/4388426524" TargetMode="External" Id="rId2"/><Relationship Type="http://schemas.openxmlformats.org/officeDocument/2006/relationships/hyperlink" Target="https://www.coupang.com/vp/products/7235295317" TargetMode="External" Id="rId3"/><Relationship Type="http://schemas.openxmlformats.org/officeDocument/2006/relationships/hyperlink" Target="https://www.11st.co.kr/products/9450182040" TargetMode="External" Id="rId4"/><Relationship Type="http://schemas.openxmlformats.org/officeDocument/2006/relationships/hyperlink" Target="https://www.coupang.com/vp/products/9430223106" TargetMode="External" Id="rId5"/><Relationship Type="http://schemas.openxmlformats.org/officeDocument/2006/relationships/hyperlink" Target="https://www.11st.co.kr/products/2119020805" TargetMode="External" Id="rId6"/><Relationship Type="http://schemas.openxmlformats.org/officeDocument/2006/relationships/hyperlink" Target="https://www.coupang.com/vp/products/209240255" TargetMode="External" Id="rId7"/><Relationship Type="http://schemas.openxmlformats.org/officeDocument/2006/relationships/hyperlink" Target="https://www.11st.co.kr/products/9254019401" TargetMode="External" Id="rId8"/><Relationship Type="http://schemas.openxmlformats.org/officeDocument/2006/relationships/hyperlink" Target="https://www.coupang.com/vp/products/2208125618" TargetMode="External" Id="rId9"/><Relationship Type="http://schemas.openxmlformats.org/officeDocument/2006/relationships/hyperlink" Target="https://www.11st.co.kr/products/8233622746" TargetMode="External" Id="rId10"/><Relationship Type="http://schemas.openxmlformats.org/officeDocument/2006/relationships/hyperlink" Target="https://www.coupang.com/vp/products/8157287793" TargetMode="External" Id="rId11"/><Relationship Type="http://schemas.openxmlformats.org/officeDocument/2006/relationships/hyperlink" Target="https://www.11st.co.kr/products/8488289119" TargetMode="External" Id="rId12"/><Relationship Type="http://schemas.openxmlformats.org/officeDocument/2006/relationships/hyperlink" Target="https://www.coupang.com/vp/products/2638759" TargetMode="External" Id="rId13"/><Relationship Type="http://schemas.openxmlformats.org/officeDocument/2006/relationships/hyperlink" Target="https://www.11st.co.kr/products/9003948249" TargetMode="External" Id="rId14"/><Relationship Type="http://schemas.openxmlformats.org/officeDocument/2006/relationships/hyperlink" Target="https://www.coupang.com/vp/products/8941803506" TargetMode="External" Id="rId15"/><Relationship Type="http://schemas.openxmlformats.org/officeDocument/2006/relationships/hyperlink" Target="https://www.11st.co.kr/products/940320094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9" customWidth="1" min="3" max="3"/>
    <col width="12" customWidth="1" min="4" max="4"/>
    <col width="9" customWidth="1" min="5" max="5"/>
    <col width="14" customWidth="1" min="6" max="6"/>
    <col width="12" customWidth="1" min="7" max="7"/>
    <col width="13" customWidth="1" min="8" max="8"/>
    <col width="8" customWidth="1" min="9" max="9"/>
    <col width="30" customWidth="1" min="10" max="10"/>
    <col width="12" customWidth="1" min="11" max="11"/>
    <col width="15" customWidth="1" min="12" max="12"/>
    <col width="15" customWidth="1" min="13" max="13"/>
    <col width="16" customWidth="1" min="14" max="14"/>
    <col width="8" customWidth="1" min="15" max="15"/>
  </cols>
  <sheetData>
    <row r="1" ht="30" customHeight="1">
      <c r="A1" s="1" t="inlineStr">
        <is>
          <t>QUARTER — 카페 오픈 사입 견적 (쿠팡 vs 11번가)</t>
        </is>
      </c>
    </row>
    <row r="2" ht="18" customHeight="1">
      <c r="A2" s="2" t="inlineStr">
        <is>
          <t>출처: 쿠팡 로켓배송·11번가(광고 제외) · 검색 시점 2026-06-26 기준 · 비교는 원/기본단위(개·매·kg·팩·병) · 차액&lt;0 = 쿠팡이 쌈, &gt;0 = 11번가가 쌈</t>
        </is>
      </c>
    </row>
    <row r="4" ht="40" customHeight="1">
      <c r="A4" s="3" t="inlineStr">
        <is>
          <t>품목</t>
        </is>
      </c>
      <c r="B4" s="3" t="inlineStr">
        <is>
          <t>규격</t>
        </is>
      </c>
      <c r="C4" s="3" t="inlineStr">
        <is>
          <t>기본단위</t>
        </is>
      </c>
      <c r="D4" s="3" t="inlineStr">
        <is>
          <t>묶음당 수량(쿠팡)</t>
        </is>
      </c>
      <c r="E4" s="3" t="inlineStr">
        <is>
          <t>수량(묶음)</t>
        </is>
      </c>
      <c r="F4" s="3" t="inlineStr">
        <is>
          <t>쿠팡 단가(원/묶음)</t>
        </is>
      </c>
      <c r="G4" s="3" t="inlineStr">
        <is>
          <t>금액(원)</t>
        </is>
      </c>
      <c r="H4" s="3" t="inlineStr">
        <is>
          <t>쿠팡 단가(원/단위)</t>
        </is>
      </c>
      <c r="I4" s="3" t="inlineStr">
        <is>
          <t>쿠팡</t>
        </is>
      </c>
      <c r="J4" s="3" t="inlineStr">
        <is>
          <t>11번가 비교상품</t>
        </is>
      </c>
      <c r="K4" s="3" t="inlineStr">
        <is>
          <t>11번가 묶음당 수량</t>
        </is>
      </c>
      <c r="L4" s="3" t="inlineStr">
        <is>
          <t>11번가 단가(원/묶음)</t>
        </is>
      </c>
      <c r="M4" s="3" t="inlineStr">
        <is>
          <t>11번가 단가(원/단위)</t>
        </is>
      </c>
      <c r="N4" s="3" t="inlineStr">
        <is>
          <t>차액(쿠팡−11번가)/단위</t>
        </is>
      </c>
      <c r="O4" s="3" t="inlineStr">
        <is>
          <t>11번가</t>
        </is>
      </c>
    </row>
    <row r="5">
      <c r="A5" s="4" t="inlineStr">
        <is>
          <t>원두 (루프트커피 스페셜티 에스프레소 블렌드 1kg)</t>
        </is>
      </c>
      <c r="B5" s="5" t="inlineStr">
        <is>
          <t>1kg 홀빈</t>
        </is>
      </c>
      <c r="C5" s="5" t="inlineStr">
        <is>
          <t>kg</t>
        </is>
      </c>
      <c r="D5" s="6" t="n">
        <v>1</v>
      </c>
      <c r="E5" s="6" t="n">
        <v>4</v>
      </c>
      <c r="F5" s="7" t="n">
        <v>22300</v>
      </c>
      <c r="G5" s="8">
        <f>E5*F5</f>
        <v/>
      </c>
      <c r="H5" s="9">
        <f>F5/D5</f>
        <v/>
      </c>
      <c r="I5" s="10" t="inlineStr">
        <is>
          <t>바로가기</t>
        </is>
      </c>
      <c r="J5" s="4" t="inlineStr">
        <is>
          <t>에센티아팩토리 스페셜티 원두 1kg</t>
        </is>
      </c>
      <c r="K5" s="6" t="n">
        <v>1</v>
      </c>
      <c r="L5" s="7" t="n">
        <v>24800</v>
      </c>
      <c r="M5" s="9">
        <f>L5/K5</f>
        <v/>
      </c>
      <c r="N5" s="9">
        <f>H5-M5</f>
        <v/>
      </c>
      <c r="O5" s="10" t="inlineStr">
        <is>
          <t>바로가기</t>
        </is>
      </c>
    </row>
    <row r="6">
      <c r="A6" s="11" t="inlineStr">
        <is>
          <t>테이크아웃 종이컵 16oz (칼라컵 3중단열 블랙 480ml)</t>
        </is>
      </c>
      <c r="B6" s="12" t="inlineStr">
        <is>
          <t>480ml·250개입</t>
        </is>
      </c>
      <c r="C6" s="12" t="inlineStr">
        <is>
          <t>개</t>
        </is>
      </c>
      <c r="D6" s="13" t="n">
        <v>250</v>
      </c>
      <c r="E6" s="13" t="n">
        <v>4</v>
      </c>
      <c r="F6" s="14" t="n">
        <v>35900</v>
      </c>
      <c r="G6" s="15">
        <f>E6*F6</f>
        <v/>
      </c>
      <c r="H6" s="16">
        <f>F6/D6</f>
        <v/>
      </c>
      <c r="I6" s="17" t="inlineStr">
        <is>
          <t>바로가기</t>
        </is>
      </c>
      <c r="J6" s="11" t="inlineStr">
        <is>
          <t>3중단열 블랙 16온스 500개</t>
        </is>
      </c>
      <c r="K6" s="13" t="n">
        <v>500</v>
      </c>
      <c r="L6" s="14" t="n">
        <v>58910</v>
      </c>
      <c r="M6" s="16">
        <f>L6/K6</f>
        <v/>
      </c>
      <c r="N6" s="16">
        <f>H6-M6</f>
        <v/>
      </c>
      <c r="O6" s="17" t="inlineStr">
        <is>
          <t>바로가기</t>
        </is>
      </c>
    </row>
    <row r="7">
      <c r="A7" s="4" t="inlineStr">
        <is>
          <t>컵 리드 16oz (아이팩피앤디 92파이 돔리드)</t>
        </is>
      </c>
      <c r="B7" s="5" t="inlineStr">
        <is>
          <t>92파이·1,000개입</t>
        </is>
      </c>
      <c r="C7" s="5" t="inlineStr">
        <is>
          <t>개</t>
        </is>
      </c>
      <c r="D7" s="6" t="n">
        <v>1000</v>
      </c>
      <c r="E7" s="6" t="n">
        <v>1</v>
      </c>
      <c r="F7" s="7" t="n">
        <v>21500</v>
      </c>
      <c r="G7" s="8">
        <f>E7*F7</f>
        <v/>
      </c>
      <c r="H7" s="9">
        <f>F7/D7</f>
        <v/>
      </c>
      <c r="I7" s="10" t="inlineStr">
        <is>
          <t>바로가기</t>
        </is>
      </c>
      <c r="J7" s="4" t="inlineStr">
        <is>
          <t>PET 92파이 돔리드 1000개</t>
        </is>
      </c>
      <c r="K7" s="6" t="n">
        <v>1000</v>
      </c>
      <c r="L7" s="7" t="n">
        <v>24330</v>
      </c>
      <c r="M7" s="9">
        <f>L7/K7</f>
        <v/>
      </c>
      <c r="N7" s="9">
        <f>H7-M7</f>
        <v/>
      </c>
      <c r="O7" s="10" t="inlineStr">
        <is>
          <t>바로가기</t>
        </is>
      </c>
    </row>
    <row r="8">
      <c r="A8" s="11" t="inlineStr">
        <is>
          <t>종이 빨대 (메오 블랙·화이트)</t>
        </is>
      </c>
      <c r="B8" s="12" t="inlineStr">
        <is>
          <t>100개입×6=600개입</t>
        </is>
      </c>
      <c r="C8" s="12" t="inlineStr">
        <is>
          <t>개</t>
        </is>
      </c>
      <c r="D8" s="13" t="n">
        <v>600</v>
      </c>
      <c r="E8" s="13" t="n">
        <v>2</v>
      </c>
      <c r="F8" s="14" t="n">
        <v>22450</v>
      </c>
      <c r="G8" s="15">
        <f>E8*F8</f>
        <v/>
      </c>
      <c r="H8" s="16">
        <f>F8/D8</f>
        <v/>
      </c>
      <c r="I8" s="17" t="inlineStr">
        <is>
          <t>바로가기</t>
        </is>
      </c>
      <c r="J8" s="11" t="inlineStr">
        <is>
          <t>지구를위한 종이빨대 블랙 250개(25입×10봉)</t>
        </is>
      </c>
      <c r="K8" s="13" t="n">
        <v>250</v>
      </c>
      <c r="L8" s="14" t="n">
        <v>40820</v>
      </c>
      <c r="M8" s="16">
        <f>L8/K8</f>
        <v/>
      </c>
      <c r="N8" s="16">
        <f>H8-M8</f>
        <v/>
      </c>
      <c r="O8" s="17" t="inlineStr">
        <is>
          <t>바로가기</t>
        </is>
      </c>
    </row>
    <row r="9">
      <c r="A9" s="4" t="inlineStr">
        <is>
          <t>냅킨 (코멧 뽑아쓰는 테이블 냅킨)</t>
        </is>
      </c>
      <c r="B9" s="5" t="inlineStr">
        <is>
          <t>10,000매입</t>
        </is>
      </c>
      <c r="C9" s="5" t="inlineStr">
        <is>
          <t>매</t>
        </is>
      </c>
      <c r="D9" s="6" t="n">
        <v>10000</v>
      </c>
      <c r="E9" s="6" t="n">
        <v>1</v>
      </c>
      <c r="F9" s="7" t="n">
        <v>15640</v>
      </c>
      <c r="G9" s="8">
        <f>E9*F9</f>
        <v/>
      </c>
      <c r="H9" s="9">
        <f>F9/D9</f>
        <v/>
      </c>
      <c r="I9" s="10" t="inlineStr">
        <is>
          <t>바로가기</t>
        </is>
      </c>
      <c r="J9" s="4" t="inlineStr">
        <is>
          <t>팜파스 미쁘 뽑아쓰는 냅킨 10000매</t>
        </is>
      </c>
      <c r="K9" s="6" t="n">
        <v>10000</v>
      </c>
      <c r="L9" s="7" t="n">
        <v>31480</v>
      </c>
      <c r="M9" s="9">
        <f>L9/K9</f>
        <v/>
      </c>
      <c r="N9" s="9">
        <f>H9-M9</f>
        <v/>
      </c>
      <c r="O9" s="10" t="inlineStr">
        <is>
          <t>바로가기</t>
        </is>
      </c>
    </row>
    <row r="10">
      <c r="A10" s="11" t="inlineStr">
        <is>
          <t>멸균 우유 1L (믈레코비타 3.5%)</t>
        </is>
      </c>
      <c r="B10" s="12" t="inlineStr">
        <is>
          <t>1L·24개입</t>
        </is>
      </c>
      <c r="C10" s="12" t="inlineStr">
        <is>
          <t>팩</t>
        </is>
      </c>
      <c r="D10" s="13" t="n">
        <v>24</v>
      </c>
      <c r="E10" s="13" t="n">
        <v>1</v>
      </c>
      <c r="F10" s="14" t="n">
        <v>37780</v>
      </c>
      <c r="G10" s="15">
        <f>E10*F10</f>
        <v/>
      </c>
      <c r="H10" s="16">
        <f>F10/D10</f>
        <v/>
      </c>
      <c r="I10" s="17" t="inlineStr">
        <is>
          <t>바로가기</t>
        </is>
      </c>
      <c r="J10" s="11" t="inlineStr">
        <is>
          <t>믈레코비타 멸균우유 1L 24개</t>
        </is>
      </c>
      <c r="K10" s="13" t="n">
        <v>24</v>
      </c>
      <c r="L10" s="14" t="n">
        <v>47720</v>
      </c>
      <c r="M10" s="16">
        <f>L10/K10</f>
        <v/>
      </c>
      <c r="N10" s="16">
        <f>H10-M10</f>
        <v/>
      </c>
      <c r="O10" s="17" t="inlineStr">
        <is>
          <t>바로가기</t>
        </is>
      </c>
    </row>
    <row r="11">
      <c r="A11" s="4" t="inlineStr">
        <is>
          <t>바닐라 시럽 1L (포모나)</t>
        </is>
      </c>
      <c r="B11" s="5" t="inlineStr">
        <is>
          <t>1L·2병입</t>
        </is>
      </c>
      <c r="C11" s="5" t="inlineStr">
        <is>
          <t>병</t>
        </is>
      </c>
      <c r="D11" s="6" t="n">
        <v>2</v>
      </c>
      <c r="E11" s="6" t="n">
        <v>1</v>
      </c>
      <c r="F11" s="7" t="n">
        <v>23670</v>
      </c>
      <c r="G11" s="8">
        <f>E11*F11</f>
        <v/>
      </c>
      <c r="H11" s="9">
        <f>F11/D11</f>
        <v/>
      </c>
      <c r="I11" s="10" t="inlineStr">
        <is>
          <t>바로가기</t>
        </is>
      </c>
      <c r="J11" s="4" t="inlineStr">
        <is>
          <t>포모나 바닐라 시럽 1L 6개</t>
        </is>
      </c>
      <c r="K11" s="6" t="n">
        <v>6</v>
      </c>
      <c r="L11" s="7" t="n">
        <v>72980</v>
      </c>
      <c r="M11" s="9">
        <f>L11/K11</f>
        <v/>
      </c>
      <c r="N11" s="9">
        <f>H11-M11</f>
        <v/>
      </c>
      <c r="O11" s="10" t="inlineStr">
        <is>
          <t>바로가기</t>
        </is>
      </c>
    </row>
    <row r="12">
      <c r="A12" s="11" t="inlineStr">
        <is>
          <t>음료 캐리어 2구 (펄로스 크라프트 무지)</t>
        </is>
      </c>
      <c r="B12" s="12" t="inlineStr">
        <is>
          <t>200개입</t>
        </is>
      </c>
      <c r="C12" s="12" t="inlineStr">
        <is>
          <t>개</t>
        </is>
      </c>
      <c r="D12" s="13" t="n">
        <v>200</v>
      </c>
      <c r="E12" s="13" t="n">
        <v>3</v>
      </c>
      <c r="F12" s="14" t="n">
        <v>16900</v>
      </c>
      <c r="G12" s="15">
        <f>E12*F12</f>
        <v/>
      </c>
      <c r="H12" s="16">
        <f>F12/D12</f>
        <v/>
      </c>
      <c r="I12" s="17" t="inlineStr">
        <is>
          <t>바로가기</t>
        </is>
      </c>
      <c r="J12" s="11" t="inlineStr">
        <is>
          <t>팩투유 크라프트 커피캐리어 2구 200개</t>
        </is>
      </c>
      <c r="K12" s="13" t="n">
        <v>200</v>
      </c>
      <c r="L12" s="14" t="n">
        <v>29410</v>
      </c>
      <c r="M12" s="16">
        <f>L12/K12</f>
        <v/>
      </c>
      <c r="N12" s="16">
        <f>H12-M12</f>
        <v/>
      </c>
      <c r="O12" s="17" t="inlineStr">
        <is>
          <t>바로가기</t>
        </is>
      </c>
    </row>
    <row r="13" ht="24" customHeight="1">
      <c r="A13" s="18" t="inlineStr">
        <is>
          <t>총 견적액 (쿠팡 기준)</t>
        </is>
      </c>
      <c r="B13" s="19" t="n"/>
      <c r="C13" s="19" t="n"/>
      <c r="D13" s="19" t="n"/>
      <c r="E13" s="19" t="n"/>
      <c r="F13" s="19" t="n"/>
      <c r="G13" s="20">
        <f>SUM(G5:G12)</f>
        <v/>
      </c>
      <c r="H13" s="19" t="n"/>
      <c r="I13" s="19" t="n"/>
      <c r="J13" s="19" t="n"/>
      <c r="K13" s="19" t="n"/>
      <c r="L13" s="19" t="n"/>
      <c r="M13" s="19" t="n"/>
      <c r="N13" s="19" t="n"/>
      <c r="O13" s="19" t="n"/>
    </row>
    <row r="15">
      <c r="A15" s="21" t="inlineStr">
        <is>
          <t>※ 비교 기준: '원/기본단위(개·매·kg·팩·병)'. 차액 = 쿠팡 단가/단위 − 11번가 단가/단위. 음수면 쿠팡이, 양수면 11번가가 저렴.</t>
        </is>
      </c>
    </row>
    <row r="16">
      <c r="A16" s="21" t="inlineStr">
        <is>
          <t>※ 11번가는 광고 제외, 쿠팡 선정품과 스펙이 가장 가까운 상품으로 비교. 묶음 크기가 달라 '원/단위'로 정규화함.</t>
        </is>
      </c>
    </row>
    <row r="17">
      <c r="A17" s="21" t="inlineStr">
        <is>
          <t>※ 결과: 8개 중 7개는 쿠팡이, 종이컵(3중단열 블랙 대량)만 11번가가 저렴. 블랙 종이빨대는 11번가에 저가 대량 옵션이 드묾.</t>
        </is>
      </c>
    </row>
    <row r="18">
      <c r="A18" s="21" t="inlineStr">
        <is>
          <t>※ 금액·총액은 쿠팡 기준. 수량(묶음)은 목표 사입량 충족하도록 올림.</t>
        </is>
      </c>
    </row>
    <row r="19">
      <c r="A19" s="21" t="inlineStr">
        <is>
          <t>※ 단가는 검색 시점 판매가이며 회원가·쿠폰·시점에 따라 변동.</t>
        </is>
      </c>
    </row>
  </sheetData>
  <mergeCells count="8">
    <mergeCell ref="A15:O15"/>
    <mergeCell ref="A16:O16"/>
    <mergeCell ref="A2:O2"/>
    <mergeCell ref="A13:F13"/>
    <mergeCell ref="A19:O19"/>
    <mergeCell ref="A1:O1"/>
    <mergeCell ref="A17:O17"/>
    <mergeCell ref="A18:O18"/>
  </mergeCells>
  <hyperlinks>
    <hyperlink xmlns:r="http://schemas.openxmlformats.org/officeDocument/2006/relationships" ref="I5" r:id="rId1"/>
    <hyperlink xmlns:r="http://schemas.openxmlformats.org/officeDocument/2006/relationships" ref="O5" r:id="rId2"/>
    <hyperlink xmlns:r="http://schemas.openxmlformats.org/officeDocument/2006/relationships" ref="I6" r:id="rId3"/>
    <hyperlink xmlns:r="http://schemas.openxmlformats.org/officeDocument/2006/relationships" ref="O6" r:id="rId4"/>
    <hyperlink xmlns:r="http://schemas.openxmlformats.org/officeDocument/2006/relationships" ref="I7" r:id="rId5"/>
    <hyperlink xmlns:r="http://schemas.openxmlformats.org/officeDocument/2006/relationships" ref="O7" r:id="rId6"/>
    <hyperlink xmlns:r="http://schemas.openxmlformats.org/officeDocument/2006/relationships" ref="I8" r:id="rId7"/>
    <hyperlink xmlns:r="http://schemas.openxmlformats.org/officeDocument/2006/relationships" ref="O8" r:id="rId8"/>
    <hyperlink xmlns:r="http://schemas.openxmlformats.org/officeDocument/2006/relationships" ref="I9" r:id="rId9"/>
    <hyperlink xmlns:r="http://schemas.openxmlformats.org/officeDocument/2006/relationships" ref="O9" r:id="rId10"/>
    <hyperlink xmlns:r="http://schemas.openxmlformats.org/officeDocument/2006/relationships" ref="I10" r:id="rId11"/>
    <hyperlink xmlns:r="http://schemas.openxmlformats.org/officeDocument/2006/relationships" ref="O10" r:id="rId12"/>
    <hyperlink xmlns:r="http://schemas.openxmlformats.org/officeDocument/2006/relationships" ref="I11" r:id="rId13"/>
    <hyperlink xmlns:r="http://schemas.openxmlformats.org/officeDocument/2006/relationships" ref="O11" r:id="rId14"/>
    <hyperlink xmlns:r="http://schemas.openxmlformats.org/officeDocument/2006/relationships" ref="I12" r:id="rId15"/>
    <hyperlink xmlns:r="http://schemas.openxmlformats.org/officeDocument/2006/relationships" ref="O12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8" customWidth="1" min="3" max="3"/>
  </cols>
  <sheetData>
    <row r="1" ht="28" customHeight="1">
      <c r="A1" s="22" t="inlineStr">
        <is>
          <t>QUARTER — 운영 사입비 (견적 연동)</t>
        </is>
      </c>
    </row>
    <row r="2">
      <c r="A2" s="21" t="inlineStr">
        <is>
          <t>QUARTER는 분기(3개월)마다 메뉴·공간 리뉴얼 → 연 4회 소모품 재사입. 금액은 '견적' 시트 총액(쿠팡 기준)과 수식으로 연동됨.</t>
        </is>
      </c>
    </row>
    <row r="4" ht="22" customHeight="1">
      <c r="A4" s="23" t="inlineStr">
        <is>
          <t>항목</t>
        </is>
      </c>
      <c r="B4" s="23" t="inlineStr">
        <is>
          <t>값</t>
        </is>
      </c>
      <c r="C4" s="23" t="inlineStr">
        <is>
          <t>비고</t>
        </is>
      </c>
    </row>
    <row r="5">
      <c r="A5" s="24" t="inlineStr">
        <is>
          <t>분기 재사입률 (소모품)</t>
        </is>
      </c>
      <c r="B5" s="25" t="n">
        <v>0.7</v>
      </c>
      <c r="C5" s="26" t="inlineStr">
        <is>
          <t>오픈 사입 중 소모품(원두·컵·리드·빨대·냅킨·캐리어 등) 재구매 비율 가정</t>
        </is>
      </c>
    </row>
    <row r="6">
      <c r="A6" s="24" t="inlineStr">
        <is>
          <t>오픈 초기 사입비 (1회)</t>
        </is>
      </c>
      <c r="B6" s="27">
        <f>견적!G13</f>
        <v/>
      </c>
      <c r="C6" s="26" t="inlineStr">
        <is>
          <t>'견적' 시트 총 견적액 연동</t>
        </is>
      </c>
    </row>
    <row r="7">
      <c r="A7" s="24" t="inlineStr">
        <is>
          <t>분기 재사입비 (1회)</t>
        </is>
      </c>
      <c r="B7" s="28">
        <f>B6*B5</f>
        <v/>
      </c>
      <c r="C7" s="26" t="inlineStr">
        <is>
          <t>오픈 사입비 × 분기 재사입률</t>
        </is>
      </c>
    </row>
    <row r="8">
      <c r="A8" s="24" t="inlineStr">
        <is>
          <t>연간 재사입비 (분기×4)</t>
        </is>
      </c>
      <c r="B8" s="28">
        <f>B7*4</f>
        <v/>
      </c>
      <c r="C8" s="26" t="inlineStr">
        <is>
          <t>QUARTER 분기 리듬: 연 4회</t>
        </is>
      </c>
    </row>
    <row r="9">
      <c r="A9" s="29" t="inlineStr">
        <is>
          <t>연간 사입비 합계</t>
        </is>
      </c>
      <c r="B9" s="30">
        <f>B6+B8</f>
        <v/>
      </c>
      <c r="C9" s="31" t="inlineStr">
        <is>
          <t>오픈 초기 + 연간 재사입</t>
        </is>
      </c>
    </row>
    <row r="10">
      <c r="A10" s="24" t="inlineStr">
        <is>
          <t>월 환산 (연간/12)</t>
        </is>
      </c>
      <c r="B10" s="28">
        <f>B9/12</f>
        <v/>
      </c>
      <c r="C10" s="26" t="inlineStr">
        <is>
          <t>월 평균 소모품 사입비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2026-06-26T06:00:36Z</dcterms:created>
  <dcterms:modified xmlns:dcterms="http://purl.org/dc/terms/" xmlns:xsi="http://www.w3.org/2001/XMLSchema-instance" xsi:type="dcterms:W3CDTF">2026-06-26T06:00:36Z</dcterms:modified>
</cp:coreProperties>
</file>