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 요약" sheetId="1" state="visible" r:id="rId1"/>
    <sheet xmlns:r="http://schemas.openxmlformats.org/officeDocument/2006/relationships" name="재료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B6CA8"/>
      </patternFill>
    </fill>
    <fill>
      <patternFill patternType="solid">
        <fgColor rgb="00E8F1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QUARTER 여름 메뉴 원가표</t>
        </is>
      </c>
    </row>
    <row r="3">
      <c r="A3" s="2" t="inlineStr">
        <is>
          <t>분류</t>
        </is>
      </c>
      <c r="B3" s="2" t="inlineStr">
        <is>
          <t>메뉴명</t>
        </is>
      </c>
      <c r="C3" s="2" t="inlineStr">
        <is>
          <t>판매가</t>
        </is>
      </c>
      <c r="D3" s="2" t="inlineStr">
        <is>
          <t>재료 원가</t>
        </is>
      </c>
      <c r="E3" s="2" t="inlineStr">
        <is>
          <t>원가율</t>
        </is>
      </c>
      <c r="F3" s="2" t="inlineStr">
        <is>
          <t>마진</t>
        </is>
      </c>
    </row>
    <row r="4">
      <c r="A4" s="3" t="inlineStr">
        <is>
          <t>COFFEE</t>
        </is>
      </c>
      <c r="B4" s="3" t="inlineStr">
        <is>
          <t>쿼터 아메리카노</t>
        </is>
      </c>
      <c r="C4" s="4" t="n">
        <v>7000</v>
      </c>
      <c r="D4" s="4" t="n">
        <v>1700</v>
      </c>
      <c r="E4" s="5" t="n">
        <v>0.2428571428571429</v>
      </c>
      <c r="F4" s="4" t="n">
        <v>5300</v>
      </c>
    </row>
    <row r="5">
      <c r="A5" s="3" t="inlineStr">
        <is>
          <t>COFFEE</t>
        </is>
      </c>
      <c r="B5" s="3" t="inlineStr">
        <is>
          <t>스틸 라떼</t>
        </is>
      </c>
      <c r="C5" s="4" t="n">
        <v>8000</v>
      </c>
      <c r="D5" s="4" t="n">
        <v>2150</v>
      </c>
      <c r="E5" s="5" t="n">
        <v>0.26875</v>
      </c>
      <c r="F5" s="4" t="n">
        <v>5850</v>
      </c>
    </row>
    <row r="6">
      <c r="A6" s="3" t="inlineStr">
        <is>
          <t>COFFEE</t>
        </is>
      </c>
      <c r="B6" s="3" t="inlineStr">
        <is>
          <t>니트로 콜드브루</t>
        </is>
      </c>
      <c r="C6" s="4" t="n">
        <v>8500</v>
      </c>
      <c r="D6" s="4" t="n">
        <v>2100</v>
      </c>
      <c r="E6" s="5" t="n">
        <v>0.2470588235294118</v>
      </c>
      <c r="F6" s="4" t="n">
        <v>6400</v>
      </c>
    </row>
    <row r="7">
      <c r="A7" s="3" t="inlineStr">
        <is>
          <t>NON-COFFEE</t>
        </is>
      </c>
      <c r="B7" s="3" t="inlineStr">
        <is>
          <t>자몽 스파클</t>
        </is>
      </c>
      <c r="C7" s="4" t="n">
        <v>8000</v>
      </c>
      <c r="D7" s="4" t="n">
        <v>2150</v>
      </c>
      <c r="E7" s="5" t="n">
        <v>0.26875</v>
      </c>
      <c r="F7" s="4" t="n">
        <v>5850</v>
      </c>
    </row>
    <row r="8">
      <c r="A8" s="3" t="inlineStr">
        <is>
          <t>NON-COFFEE</t>
        </is>
      </c>
      <c r="B8" s="3" t="inlineStr">
        <is>
          <t>청귤 에이드</t>
        </is>
      </c>
      <c r="C8" s="4" t="n">
        <v>8000</v>
      </c>
      <c r="D8" s="4" t="n">
        <v>2250</v>
      </c>
      <c r="E8" s="5" t="n">
        <v>0.28125</v>
      </c>
      <c r="F8" s="4" t="n">
        <v>5750</v>
      </c>
    </row>
    <row r="9">
      <c r="A9" s="3" t="inlineStr">
        <is>
          <t>NON-COFFEE</t>
        </is>
      </c>
      <c r="B9" s="3" t="inlineStr">
        <is>
          <t>애플민트 콜드 티</t>
        </is>
      </c>
      <c r="C9" s="4" t="n">
        <v>7500</v>
      </c>
      <c r="D9" s="4" t="n">
        <v>1900</v>
      </c>
      <c r="E9" s="5" t="n">
        <v>0.2533333333333334</v>
      </c>
      <c r="F9" s="4" t="n">
        <v>5600</v>
      </c>
    </row>
    <row r="10">
      <c r="A10" s="3" t="inlineStr">
        <is>
          <t>BINGSU &amp; DESSERT</t>
        </is>
      </c>
      <c r="B10" s="3" t="inlineStr">
        <is>
          <t>망고 빙수 (시그니처)</t>
        </is>
      </c>
      <c r="C10" s="4" t="n">
        <v>18000</v>
      </c>
      <c r="D10" s="4" t="n">
        <v>5700</v>
      </c>
      <c r="E10" s="5" t="n">
        <v>0.3166666666666667</v>
      </c>
      <c r="F10" s="4" t="n">
        <v>12300</v>
      </c>
    </row>
    <row r="11">
      <c r="A11" s="3" t="inlineStr">
        <is>
          <t>BINGSU &amp; DESSERT</t>
        </is>
      </c>
      <c r="B11" s="3" t="inlineStr">
        <is>
          <t>흑임자 인절미 빙수</t>
        </is>
      </c>
      <c r="C11" s="4" t="n">
        <v>15000</v>
      </c>
      <c r="D11" s="4" t="n">
        <v>3650</v>
      </c>
      <c r="E11" s="5" t="n">
        <v>0.2433333333333333</v>
      </c>
      <c r="F11" s="4" t="n">
        <v>11350</v>
      </c>
    </row>
    <row r="12">
      <c r="A12" s="3" t="inlineStr">
        <is>
          <t>BINGSU &amp; DESSERT</t>
        </is>
      </c>
      <c r="B12" s="3" t="inlineStr">
        <is>
          <t>Q3 콜라보 젤라또</t>
        </is>
      </c>
      <c r="C12" s="4" t="n">
        <v>9500</v>
      </c>
      <c r="D12" s="4" t="n">
        <v>3200</v>
      </c>
      <c r="E12" s="5" t="n">
        <v>0.3368421052631579</v>
      </c>
      <c r="F12" s="4" t="n">
        <v>6300</v>
      </c>
    </row>
    <row r="14">
      <c r="B14" s="6" t="inlineStr">
        <is>
          <t>평균</t>
        </is>
      </c>
      <c r="C14" s="7">
        <f>AVERAGE(C4:C12)</f>
        <v/>
      </c>
      <c r="D14" s="7">
        <f>AVERAGE(D4:D12)</f>
        <v/>
      </c>
      <c r="E14" s="8">
        <f>AVERAGE(E4:E12)</f>
        <v/>
      </c>
      <c r="F14" s="7">
        <f>AVERAGE(F4:F12)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</cols>
  <sheetData>
    <row r="1">
      <c r="A1" s="2" t="inlineStr">
        <is>
          <t>메뉴명</t>
        </is>
      </c>
      <c r="B1" s="2" t="inlineStr">
        <is>
          <t>재료</t>
        </is>
      </c>
      <c r="C1" s="2" t="inlineStr">
        <is>
          <t>원가</t>
        </is>
      </c>
    </row>
    <row r="2">
      <c r="A2" s="9" t="inlineStr">
        <is>
          <t>쿼터 아메리카노</t>
        </is>
      </c>
      <c r="B2" s="3" t="inlineStr">
        <is>
          <t>스페셜티 원두 20g</t>
        </is>
      </c>
      <c r="C2" s="4" t="n">
        <v>1300</v>
      </c>
    </row>
    <row r="3">
      <c r="A3" s="10" t="n"/>
      <c r="B3" s="3" t="inlineStr">
        <is>
          <t>정수·얼음</t>
        </is>
      </c>
      <c r="C3" s="4" t="n">
        <v>100</v>
      </c>
    </row>
    <row r="4">
      <c r="A4" s="10" t="n"/>
      <c r="B4" s="3" t="inlineStr">
        <is>
          <t>컵·빨대·부자재</t>
        </is>
      </c>
      <c r="C4" s="4" t="n">
        <v>300</v>
      </c>
    </row>
    <row r="5">
      <c r="A5" s="9" t="inlineStr">
        <is>
          <t>스틸 라떼</t>
        </is>
      </c>
      <c r="B5" s="3" t="inlineStr">
        <is>
          <t>콜드브루 원액 80ml</t>
        </is>
      </c>
      <c r="C5" s="4" t="n">
        <v>1300</v>
      </c>
    </row>
    <row r="6">
      <c r="A6" s="10" t="n"/>
      <c r="B6" s="3" t="inlineStr">
        <is>
          <t>우유 200ml</t>
        </is>
      </c>
      <c r="C6" s="4" t="n">
        <v>450</v>
      </c>
    </row>
    <row r="7">
      <c r="A7" s="10" t="n"/>
      <c r="B7" s="3" t="inlineStr">
        <is>
          <t>얼음</t>
        </is>
      </c>
      <c r="C7" s="4" t="n">
        <v>100</v>
      </c>
    </row>
    <row r="8">
      <c r="A8" s="10" t="n"/>
      <c r="B8" s="3" t="inlineStr">
        <is>
          <t>컵·빨대·부자재</t>
        </is>
      </c>
      <c r="C8" s="4" t="n">
        <v>300</v>
      </c>
    </row>
    <row r="9">
      <c r="A9" s="9" t="inlineStr">
        <is>
          <t>니트로 콜드브루</t>
        </is>
      </c>
      <c r="B9" s="3" t="inlineStr">
        <is>
          <t>콜드브루 원액 120ml</t>
        </is>
      </c>
      <c r="C9" s="4" t="n">
        <v>1600</v>
      </c>
    </row>
    <row r="10">
      <c r="A10" s="10" t="n"/>
      <c r="B10" s="3" t="inlineStr">
        <is>
          <t>질소 차지</t>
        </is>
      </c>
      <c r="C10" s="4" t="n">
        <v>200</v>
      </c>
    </row>
    <row r="11">
      <c r="A11" s="10" t="n"/>
      <c r="B11" s="3" t="inlineStr">
        <is>
          <t>컵·부자재</t>
        </is>
      </c>
      <c r="C11" s="4" t="n">
        <v>300</v>
      </c>
    </row>
    <row r="12">
      <c r="A12" s="9" t="inlineStr">
        <is>
          <t>자몽 스파클</t>
        </is>
      </c>
      <c r="B12" s="3" t="inlineStr">
        <is>
          <t>수제 자몽청 60g</t>
        </is>
      </c>
      <c r="C12" s="4" t="n">
        <v>900</v>
      </c>
    </row>
    <row r="13">
      <c r="A13" s="10" t="n"/>
      <c r="B13" s="3" t="inlineStr">
        <is>
          <t>자몽 슬라이스</t>
        </is>
      </c>
      <c r="C13" s="4" t="n">
        <v>500</v>
      </c>
    </row>
    <row r="14">
      <c r="A14" s="10" t="n"/>
      <c r="B14" s="3" t="inlineStr">
        <is>
          <t>탄산수 200ml</t>
        </is>
      </c>
      <c r="C14" s="4" t="n">
        <v>350</v>
      </c>
    </row>
    <row r="15">
      <c r="A15" s="10" t="n"/>
      <c r="B15" s="3" t="inlineStr">
        <is>
          <t>얼음</t>
        </is>
      </c>
      <c r="C15" s="4" t="n">
        <v>100</v>
      </c>
    </row>
    <row r="16">
      <c r="A16" s="10" t="n"/>
      <c r="B16" s="3" t="inlineStr">
        <is>
          <t>컵·빨대·부자재</t>
        </is>
      </c>
      <c r="C16" s="4" t="n">
        <v>300</v>
      </c>
    </row>
    <row r="17">
      <c r="A17" s="9" t="inlineStr">
        <is>
          <t>청귤 에이드</t>
        </is>
      </c>
      <c r="B17" s="3" t="inlineStr">
        <is>
          <t>제주 청귤청 70g</t>
        </is>
      </c>
      <c r="C17" s="4" t="n">
        <v>1200</v>
      </c>
    </row>
    <row r="18">
      <c r="A18" s="10" t="n"/>
      <c r="B18" s="3" t="inlineStr">
        <is>
          <t>탄산수 200ml</t>
        </is>
      </c>
      <c r="C18" s="4" t="n">
        <v>350</v>
      </c>
    </row>
    <row r="19">
      <c r="A19" s="10" t="n"/>
      <c r="B19" s="3" t="inlineStr">
        <is>
          <t>청귤 슬라이스</t>
        </is>
      </c>
      <c r="C19" s="4" t="n">
        <v>300</v>
      </c>
    </row>
    <row r="20">
      <c r="A20" s="10" t="n"/>
      <c r="B20" s="3" t="inlineStr">
        <is>
          <t>얼음</t>
        </is>
      </c>
      <c r="C20" s="4" t="n">
        <v>100</v>
      </c>
    </row>
    <row r="21">
      <c r="A21" s="10" t="n"/>
      <c r="B21" s="3" t="inlineStr">
        <is>
          <t>컵·빨대·부자재</t>
        </is>
      </c>
      <c r="C21" s="4" t="n">
        <v>300</v>
      </c>
    </row>
    <row r="22">
      <c r="A22" s="9" t="inlineStr">
        <is>
          <t>애플민트 콜드 티</t>
        </is>
      </c>
      <c r="B22" s="3" t="inlineStr">
        <is>
          <t>프리미엄 허브 블렌드</t>
        </is>
      </c>
      <c r="C22" s="4" t="n">
        <v>900</v>
      </c>
    </row>
    <row r="23">
      <c r="A23" s="10" t="n"/>
      <c r="B23" s="3" t="inlineStr">
        <is>
          <t>생 애플민트·레몬</t>
        </is>
      </c>
      <c r="C23" s="4" t="n">
        <v>600</v>
      </c>
    </row>
    <row r="24">
      <c r="A24" s="10" t="n"/>
      <c r="B24" s="3" t="inlineStr">
        <is>
          <t>얼음</t>
        </is>
      </c>
      <c r="C24" s="4" t="n">
        <v>100</v>
      </c>
    </row>
    <row r="25">
      <c r="A25" s="10" t="n"/>
      <c r="B25" s="3" t="inlineStr">
        <is>
          <t>컵·빨대·부자재</t>
        </is>
      </c>
      <c r="C25" s="4" t="n">
        <v>300</v>
      </c>
    </row>
    <row r="26">
      <c r="A26" s="9" t="inlineStr">
        <is>
          <t>망고 빙수 (시그니처)</t>
        </is>
      </c>
      <c r="B26" s="3" t="inlineStr">
        <is>
          <t>애플망고 200g</t>
        </is>
      </c>
      <c r="C26" s="4" t="n">
        <v>3800</v>
      </c>
    </row>
    <row r="27">
      <c r="A27" s="10" t="n"/>
      <c r="B27" s="3" t="inlineStr">
        <is>
          <t>우유 얼음 베이스 500g</t>
        </is>
      </c>
      <c r="C27" s="4" t="n">
        <v>1000</v>
      </c>
    </row>
    <row r="28">
      <c r="A28" s="10" t="n"/>
      <c r="B28" s="3" t="inlineStr">
        <is>
          <t>연유·시럽</t>
        </is>
      </c>
      <c r="C28" s="4" t="n">
        <v>350</v>
      </c>
    </row>
    <row r="29">
      <c r="A29" s="10" t="n"/>
      <c r="B29" s="3" t="inlineStr">
        <is>
          <t>애플민트 가니시</t>
        </is>
      </c>
      <c r="C29" s="4" t="n">
        <v>150</v>
      </c>
    </row>
    <row r="30">
      <c r="A30" s="10" t="n"/>
      <c r="B30" s="3" t="inlineStr">
        <is>
          <t>용기·수저·부자재</t>
        </is>
      </c>
      <c r="C30" s="4" t="n">
        <v>400</v>
      </c>
    </row>
    <row r="31">
      <c r="A31" s="9" t="inlineStr">
        <is>
          <t>흑임자 인절미 빙수</t>
        </is>
      </c>
      <c r="B31" s="3" t="inlineStr">
        <is>
          <t>흑임자 페이스트 40g</t>
        </is>
      </c>
      <c r="C31" s="4" t="n">
        <v>1200</v>
      </c>
    </row>
    <row r="32">
      <c r="A32" s="10" t="n"/>
      <c r="B32" s="3" t="inlineStr">
        <is>
          <t>우유 얼음 베이스 500g</t>
        </is>
      </c>
      <c r="C32" s="4" t="n">
        <v>1000</v>
      </c>
    </row>
    <row r="33">
      <c r="A33" s="10" t="n"/>
      <c r="B33" s="3" t="inlineStr">
        <is>
          <t>인절미·콩고물</t>
        </is>
      </c>
      <c r="C33" s="4" t="n">
        <v>800</v>
      </c>
    </row>
    <row r="34">
      <c r="A34" s="10" t="n"/>
      <c r="B34" s="3" t="inlineStr">
        <is>
          <t>연유</t>
        </is>
      </c>
      <c r="C34" s="4" t="n">
        <v>250</v>
      </c>
    </row>
    <row r="35">
      <c r="A35" s="10" t="n"/>
      <c r="B35" s="3" t="inlineStr">
        <is>
          <t>용기·수저·부자재</t>
        </is>
      </c>
      <c r="C35" s="4" t="n">
        <v>400</v>
      </c>
    </row>
    <row r="36">
      <c r="A36" s="9" t="inlineStr">
        <is>
          <t>Q3 콜라보 젤라또</t>
        </is>
      </c>
      <c r="B36" s="3" t="inlineStr">
        <is>
          <t>콜라보 젤라또 2스쿱 (납품)</t>
        </is>
      </c>
      <c r="C36" s="4" t="n">
        <v>2600</v>
      </c>
    </row>
    <row r="37">
      <c r="A37" s="10" t="n"/>
      <c r="B37" s="3" t="inlineStr">
        <is>
          <t>웨이퍼·가니시</t>
        </is>
      </c>
      <c r="C37" s="4" t="n">
        <v>300</v>
      </c>
    </row>
    <row r="38">
      <c r="A38" s="10" t="n"/>
      <c r="B38" s="3" t="inlineStr">
        <is>
          <t>컵·스푼·부자재</t>
        </is>
      </c>
      <c r="C38" s="4" t="n">
        <v>300</v>
      </c>
    </row>
  </sheetData>
  <mergeCells count="9">
    <mergeCell ref="A17:A21"/>
    <mergeCell ref="A12:A16"/>
    <mergeCell ref="A26:A30"/>
    <mergeCell ref="A2:A4"/>
    <mergeCell ref="A36:A38"/>
    <mergeCell ref="A31:A35"/>
    <mergeCell ref="A5:A8"/>
    <mergeCell ref="A9:A11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2026-07-16T15:44:39Z</dcterms:created>
  <dcterms:modified xmlns:dcterms="http://purl.org/dc/terms/" xmlns:xsi="http://www.w3.org/2001/XMLSchema-instance" xsi:type="dcterms:W3CDTF">2026-07-16T15:44:39Z</dcterms:modified>
</cp:coreProperties>
</file>