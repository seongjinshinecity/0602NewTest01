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(입력)" sheetId="1" state="visible" r:id="rId1"/>
    <sheet xmlns:r="http://schemas.openxmlformats.org/officeDocument/2006/relationships" name="손익 시나리오" sheetId="2" state="visible" r:id="rId2"/>
    <sheet xmlns:r="http://schemas.openxmlformats.org/officeDocument/2006/relationships" name="BEP·판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&quot;개월&quot;"/>
    <numFmt numFmtId="166" formatCode="0&quot;명&quot;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color rgb="00777777"/>
      <sz val="9"/>
    </font>
    <font>
      <b val="1"/>
      <color rgb="001F3A5F"/>
      <sz val="12"/>
    </font>
    <font>
      <b val="1"/>
      <color rgb="00C0392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4" fontId="4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0" fontId="5" fillId="2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>
      <c r="A1" s="1" t="inlineStr">
        <is>
          <t>여덟 시 반 — 창업 가정 (전부 여기서 수정 → 다른 시트 자동 재계산)</t>
        </is>
      </c>
    </row>
    <row r="2">
      <c r="A2" s="2" t="inlineStr">
        <is>
          <t>근거: 가산동 실매물(네모 2026-07 검색) · 카페 창업비용 벤치마크 · 2026 최저시급 확정치</t>
        </is>
      </c>
    </row>
    <row r="4">
      <c r="A4" s="3" t="inlineStr">
        <is>
          <t>A. 입지 (가산 오피스 골목 10평, 실매물 근거)</t>
        </is>
      </c>
    </row>
    <row r="5">
      <c r="A5" s="4" t="inlineStr">
        <is>
          <t>보증금</t>
        </is>
      </c>
      <c r="B5" s="5" t="n">
        <v>30000000</v>
      </c>
      <c r="C5" s="2" t="inlineStr">
        <is>
          <t>실매물: 16.5평 1층 보3,000 — 오피스 상권 표준</t>
        </is>
      </c>
    </row>
    <row r="6">
      <c r="A6" s="4" t="inlineStr">
        <is>
          <t>월세(VAT 별도)</t>
        </is>
      </c>
      <c r="B6" s="5" t="n">
        <v>2000000</v>
      </c>
      <c r="C6" s="2" t="inlineStr">
        <is>
          <t>실매물: 16.5평 월250 / 식당 월300 → 10평 골목 보정 ~200</t>
        </is>
      </c>
    </row>
    <row r="7">
      <c r="A7" s="4" t="inlineStr">
        <is>
          <t>관리비(월)</t>
        </is>
      </c>
      <c r="B7" s="5" t="n">
        <v>200000</v>
      </c>
    </row>
    <row r="8">
      <c r="A8" s="4" t="inlineStr">
        <is>
          <t>권리금</t>
        </is>
      </c>
      <c r="B8" s="5" t="n">
        <v>50000000</v>
      </c>
      <c r="C8" s="2" t="inlineStr">
        <is>
          <t>실매물: 권6,000~8,000 — 골목 보정 5,000 (오피스 상권 권리금 高)</t>
        </is>
      </c>
    </row>
    <row r="10">
      <c r="A10" s="3" t="inlineStr">
        <is>
          <t>B. 초기투자 (개설비)</t>
        </is>
      </c>
    </row>
    <row r="11">
      <c r="A11" s="4" t="inlineStr">
        <is>
          <t>인테리어 평당</t>
        </is>
      </c>
      <c r="B11" s="5" t="n">
        <v>2500000</v>
      </c>
      <c r="C11" s="2" t="inlineStr">
        <is>
          <t>픽업 바 최소 구성 — 벤치마크 하단</t>
        </is>
      </c>
    </row>
    <row r="12">
      <c r="A12" s="4" t="inlineStr">
        <is>
          <t>평수</t>
        </is>
      </c>
      <c r="B12" s="6" t="n">
        <v>10</v>
      </c>
    </row>
    <row r="13">
      <c r="A13" s="4" t="inlineStr">
        <is>
          <t>인테리어 합계</t>
        </is>
      </c>
      <c r="B13" s="5">
        <f>B11*B12</f>
        <v/>
      </c>
    </row>
    <row r="14">
      <c r="A14" s="4" t="inlineStr">
        <is>
          <t>장비 (머신·그라인더·제빙기·오븐·쇼케이스·냉장)</t>
        </is>
      </c>
      <c r="B14" s="5" t="n">
        <v>15000000</v>
      </c>
      <c r="C14" s="2" t="inlineStr">
        <is>
          <t>2그룹 머신 600~800 포함, 일부 중고 시 -30%</t>
        </is>
      </c>
    </row>
    <row r="15">
      <c r="A15" s="4" t="inlineStr">
        <is>
          <t>집기·가구·소품</t>
        </is>
      </c>
      <c r="B15" s="5" t="n">
        <v>2000000</v>
      </c>
    </row>
    <row r="16">
      <c r="A16" s="4" t="inlineStr">
        <is>
          <t>초도물품·인허가·POS·간판·사전주문 채널</t>
        </is>
      </c>
      <c r="B16" s="5" t="n">
        <v>5000000</v>
      </c>
    </row>
    <row r="17">
      <c r="A17" s="4" t="inlineStr">
        <is>
          <t>예비비</t>
        </is>
      </c>
      <c r="B17" s="5" t="n">
        <v>5000000</v>
      </c>
      <c r="C17" s="2" t="inlineStr">
        <is>
          <t>공사 지연·초기 적자 버퍼</t>
        </is>
      </c>
    </row>
    <row r="18">
      <c r="A18" s="4" t="inlineStr">
        <is>
          <t>개설비 합계 (권리금 포함)</t>
        </is>
      </c>
      <c r="B18" s="5">
        <f>B8+B13+B14+B15+B16+B17</f>
        <v/>
      </c>
    </row>
    <row r="19">
      <c r="A19" s="4" t="inlineStr">
        <is>
          <t>총투자 (보증금 포함)</t>
        </is>
      </c>
      <c r="B19" s="7">
        <f>B18+B5</f>
        <v/>
      </c>
    </row>
    <row r="21">
      <c r="A21" s="3" t="inlineStr">
        <is>
          <t>C. 운영 가정</t>
        </is>
      </c>
    </row>
    <row r="22">
      <c r="A22" s="4" t="inlineStr">
        <is>
          <t>원가율(재료비, 음료+박스 혼합)</t>
        </is>
      </c>
      <c r="B22" s="8" t="n">
        <v>0.32</v>
      </c>
      <c r="C22" s="2" t="inlineStr">
        <is>
          <t>음료 25~30% + 디저트박스 40% 혼합</t>
        </is>
      </c>
    </row>
    <row r="23">
      <c r="A23" s="4" t="inlineStr">
        <is>
          <t>카드수수료·소모품 등 변동잡비율</t>
        </is>
      </c>
      <c r="B23" s="8" t="n">
        <v>0.03</v>
      </c>
    </row>
    <row r="24">
      <c r="A24" s="4" t="inlineStr">
        <is>
          <t>알바 시급 (2026 최저임금)</t>
        </is>
      </c>
      <c r="B24" s="5" t="n">
        <v>10320</v>
      </c>
      <c r="C24" s="2" t="inlineStr">
        <is>
          <t>2026 확정 10,320원</t>
        </is>
      </c>
    </row>
    <row r="25">
      <c r="A25" s="4" t="inlineStr">
        <is>
          <t>알바 주당 시간 (아침·점심 러시 커버)</t>
        </is>
      </c>
      <c r="B25" s="6" t="n">
        <v>25</v>
      </c>
    </row>
    <row r="26">
      <c r="A26" s="4" t="inlineStr">
        <is>
          <t>주휴 등 부대계수</t>
        </is>
      </c>
      <c r="B26" s="9" t="n">
        <v>1.25</v>
      </c>
    </row>
    <row r="27">
      <c r="A27" s="4" t="inlineStr">
        <is>
          <t>알바비(월)</t>
        </is>
      </c>
      <c r="B27" s="5">
        <f>B24*B25*4.33*B26</f>
        <v/>
      </c>
    </row>
    <row r="28">
      <c r="A28" s="4" t="inlineStr">
        <is>
          <t>공과금·통신·보험(월)</t>
        </is>
      </c>
      <c r="B28" s="5" t="n">
        <v>600000</v>
      </c>
    </row>
    <row r="29">
      <c r="A29" s="4" t="inlineStr">
        <is>
          <t>마케팅(월)</t>
        </is>
      </c>
      <c r="B29" s="5" t="n">
        <v>200000</v>
      </c>
      <c r="C29" s="2" t="inlineStr">
        <is>
          <t>B2B 영업·인플루언서 체험 포함</t>
        </is>
      </c>
    </row>
    <row r="30">
      <c r="A30" s="4" t="inlineStr">
        <is>
          <t>사장 목표 월급(생활비)</t>
        </is>
      </c>
      <c r="B30" s="5" t="n">
        <v>3000000</v>
      </c>
    </row>
    <row r="31">
      <c r="A31" s="4" t="inlineStr">
        <is>
          <t>월 영업일수</t>
        </is>
      </c>
      <c r="B31" s="6" t="n">
        <v>26</v>
      </c>
      <c r="C31" s="2" t="inlineStr">
        <is>
          <t>주말 단축 — 실질 26일 환산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월 손익 시나리오 — 벤치마크 기반 3안</t>
        </is>
      </c>
    </row>
    <row r="2">
      <c r="A2" s="2" t="inlineStr">
        <is>
          <t>보수 = 오피스 상권 10평 평균(월 800만) · 기본 = 시뮬 수준(B2B 안착) · 낙관 = B2B 확장</t>
        </is>
      </c>
    </row>
    <row r="4">
      <c r="A4" s="10" t="inlineStr">
        <is>
          <t>항목</t>
        </is>
      </c>
      <c r="B4" s="10" t="inlineStr">
        <is>
          <t>① 보수 (오피스 평균)</t>
        </is>
      </c>
      <c r="C4" s="10" t="inlineStr">
        <is>
          <t>② 기본 (시뮬=B2B 안착)</t>
        </is>
      </c>
      <c r="D4" s="10" t="inlineStr">
        <is>
          <t>③ 낙관 (B2B 확장)</t>
        </is>
      </c>
    </row>
    <row r="5">
      <c r="A5" s="4" t="inlineStr">
        <is>
          <t>월매출</t>
        </is>
      </c>
      <c r="B5" s="5" t="n">
        <v>8000000</v>
      </c>
      <c r="C5" s="5" t="n">
        <v>16000000</v>
      </c>
      <c r="D5" s="5" t="n">
        <v>20000000</v>
      </c>
    </row>
    <row r="6">
      <c r="A6" s="4" t="inlineStr">
        <is>
          <t>일매출 (÷영업일)</t>
        </is>
      </c>
      <c r="B6" s="5">
        <f>B5/'가정(입력)'!B31</f>
        <v/>
      </c>
      <c r="C6" s="5">
        <f>C5/'가정(입력)'!B31</f>
        <v/>
      </c>
      <c r="D6" s="5">
        <f>D5/'가정(입력)'!B31</f>
        <v/>
      </c>
    </row>
    <row r="7">
      <c r="A7" s="4" t="inlineStr">
        <is>
          <t>재료비 (원가율)</t>
        </is>
      </c>
      <c r="B7" s="5">
        <f>-B5*'가정(입력)'!B22</f>
        <v/>
      </c>
      <c r="C7" s="5">
        <f>-C5*'가정(입력)'!B22</f>
        <v/>
      </c>
      <c r="D7" s="5">
        <f>-D5*'가정(입력)'!B22</f>
        <v/>
      </c>
    </row>
    <row r="8">
      <c r="A8" s="4" t="inlineStr">
        <is>
          <t>변동잡비 (수수료 등)</t>
        </is>
      </c>
      <c r="B8" s="5">
        <f>-B5*'가정(입력)'!B23</f>
        <v/>
      </c>
      <c r="C8" s="5">
        <f>-C5*'가정(입력)'!B23</f>
        <v/>
      </c>
      <c r="D8" s="5">
        <f>-D5*'가정(입력)'!B23</f>
        <v/>
      </c>
    </row>
    <row r="9">
      <c r="A9" s="4" t="inlineStr">
        <is>
          <t>공헌이익</t>
        </is>
      </c>
      <c r="B9" s="5">
        <f>B5+B7+B8</f>
        <v/>
      </c>
      <c r="C9" s="5">
        <f>C5+C7+C8</f>
        <v/>
      </c>
      <c r="D9" s="5">
        <f>D5+D7+D8</f>
        <v/>
      </c>
    </row>
    <row r="10">
      <c r="A10" s="4" t="inlineStr">
        <is>
          <t>월세+VAT</t>
        </is>
      </c>
      <c r="B10" s="5">
        <f>-'가정(입력)'!B6*1.1</f>
        <v/>
      </c>
      <c r="C10" s="5">
        <f>-'가정(입력)'!B6*1.1</f>
        <v/>
      </c>
      <c r="D10" s="5">
        <f>-'가정(입력)'!B6*1.1</f>
        <v/>
      </c>
    </row>
    <row r="11">
      <c r="A11" s="4" t="inlineStr">
        <is>
          <t>관리비</t>
        </is>
      </c>
      <c r="B11" s="5">
        <f>-'가정(입력)'!B7</f>
        <v/>
      </c>
      <c r="C11" s="5">
        <f>-'가정(입력)'!B7</f>
        <v/>
      </c>
      <c r="D11" s="5">
        <f>-'가정(입력)'!B7</f>
        <v/>
      </c>
    </row>
    <row r="12">
      <c r="A12" s="4" t="inlineStr">
        <is>
          <t>알바비</t>
        </is>
      </c>
      <c r="B12" s="5">
        <f>-'가정(입력)'!B27</f>
        <v/>
      </c>
      <c r="C12" s="5">
        <f>-'가정(입력)'!B27</f>
        <v/>
      </c>
      <c r="D12" s="5">
        <f>-'가정(입력)'!B27</f>
        <v/>
      </c>
    </row>
    <row r="13">
      <c r="A13" s="4" t="inlineStr">
        <is>
          <t>공과금·통신·보험</t>
        </is>
      </c>
      <c r="B13" s="5">
        <f>-'가정(입력)'!B28</f>
        <v/>
      </c>
      <c r="C13" s="5">
        <f>-'가정(입력)'!B28</f>
        <v/>
      </c>
      <c r="D13" s="5">
        <f>-'가정(입력)'!B28</f>
        <v/>
      </c>
    </row>
    <row r="14">
      <c r="A14" s="4" t="inlineStr">
        <is>
          <t>마케팅</t>
        </is>
      </c>
      <c r="B14" s="5">
        <f>-'가정(입력)'!B29</f>
        <v/>
      </c>
      <c r="C14" s="5">
        <f>-'가정(입력)'!B29</f>
        <v/>
      </c>
      <c r="D14" s="5">
        <f>-'가정(입력)'!B29</f>
        <v/>
      </c>
    </row>
    <row r="15">
      <c r="A15" s="11" t="inlineStr">
        <is>
          <t>영업이익 (사장 월급 前)</t>
        </is>
      </c>
      <c r="B15" s="12">
        <f>B9+SUM(B10:B14)</f>
        <v/>
      </c>
      <c r="C15" s="12">
        <f>C9+SUM(C10:C14)</f>
        <v/>
      </c>
      <c r="D15" s="12">
        <f>D9+SUM(D10:D14)</f>
        <v/>
      </c>
    </row>
    <row r="16">
      <c r="A16" s="4" t="inlineStr">
        <is>
          <t>사장 월급 차감</t>
        </is>
      </c>
      <c r="B16" s="5">
        <f>-'가정(입력)'!B30</f>
        <v/>
      </c>
      <c r="C16" s="5">
        <f>-'가정(입력)'!B30</f>
        <v/>
      </c>
      <c r="D16" s="5">
        <f>-'가정(입력)'!B30</f>
        <v/>
      </c>
    </row>
    <row r="17">
      <c r="A17" s="11" t="inlineStr">
        <is>
          <t>순이익 (사장 월급 後)</t>
        </is>
      </c>
      <c r="B17" s="12">
        <f>B15+B16</f>
        <v/>
      </c>
      <c r="C17" s="12">
        <f>C15+C16</f>
        <v/>
      </c>
      <c r="D17" s="12">
        <f>D15+D16</f>
        <v/>
      </c>
    </row>
    <row r="18">
      <c r="A18" s="4" t="inlineStr">
        <is>
          <t>투자 회수기간 (영업이익 기준, 개월)</t>
        </is>
      </c>
      <c r="B18" s="13">
        <f>IF(B15&gt;0,'가정(입력)'!B18/B15,"회수 불가")</f>
        <v/>
      </c>
      <c r="C18" s="13">
        <f>IF(C15&gt;0,'가정(입력)'!B18/C15,"회수 불가")</f>
        <v/>
      </c>
      <c r="D18" s="13">
        <f>IF(D15&gt;0,'가정(입력)'!B18/D15,"회수 불가")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>
      <c r="A1" s="1" t="inlineStr">
        <is>
          <t>손익분기(BEP) &amp; 생존 매출 — 이 카페가 성립하는 조건</t>
        </is>
      </c>
    </row>
    <row r="3">
      <c r="A3" s="3" t="inlineStr">
        <is>
          <t>고정비 &amp; 변동비율 (가정 시트에서 자동)</t>
        </is>
      </c>
    </row>
    <row r="4">
      <c r="A4" s="4" t="inlineStr">
        <is>
          <t>월 고정비 합계</t>
        </is>
      </c>
      <c r="B4" s="5">
        <f>'가정(입력)'!B6*1.1+'가정(입력)'!B7+'가정(입력)'!B27+'가정(입력)'!B28+'가정(입력)'!B29</f>
        <v/>
      </c>
    </row>
    <row r="5">
      <c r="A5" s="4" t="inlineStr">
        <is>
          <t>변동비율 (원가+잡비)</t>
        </is>
      </c>
      <c r="B5" s="8">
        <f>'가정(입력)'!B22+'가정(입력)'!B23</f>
        <v/>
      </c>
    </row>
    <row r="6">
      <c r="A6" s="4" t="inlineStr">
        <is>
          <t>공헌이익률</t>
        </is>
      </c>
      <c r="B6" s="8">
        <f>1-B5</f>
        <v/>
      </c>
    </row>
    <row r="8">
      <c r="A8" s="3" t="inlineStr">
        <is>
          <t>① 손익분기 (사장 월급 0원 — '버티는' 선)</t>
        </is>
      </c>
    </row>
    <row r="9">
      <c r="A9" s="4" t="inlineStr">
        <is>
          <t>BEP 월매출</t>
        </is>
      </c>
      <c r="B9" s="5">
        <f>B4/B6</f>
        <v/>
      </c>
    </row>
    <row r="10">
      <c r="A10" s="4" t="inlineStr">
        <is>
          <t>BEP 일매출</t>
        </is>
      </c>
      <c r="B10" s="5">
        <f>B9/'가정(입력)'!B31</f>
        <v/>
      </c>
    </row>
    <row r="12">
      <c r="A12" s="3" t="inlineStr">
        <is>
          <t>② 생존 매출 (사장 월급 확보 — '사는' 선)</t>
        </is>
      </c>
    </row>
    <row r="13">
      <c r="A13" s="4" t="inlineStr">
        <is>
          <t>필요 월매출</t>
        </is>
      </c>
      <c r="B13" s="5">
        <f>(B4+'가정(입력)'!B30)/B6</f>
        <v/>
      </c>
    </row>
    <row r="14">
      <c r="A14" s="4" t="inlineStr">
        <is>
          <t>필요 일매출</t>
        </is>
      </c>
      <c r="B14" s="5">
        <f>B13/'가정(입력)'!B31</f>
        <v/>
      </c>
    </row>
    <row r="15">
      <c r="A15" s="4">
        <f> 객단가 9,000원 기준 하루 손님</f>
        <v/>
      </c>
      <c r="B15" s="14">
        <f>B14/9000</f>
        <v/>
      </c>
      <c r="C15" s="2" t="inlineStr">
        <is>
          <t>페어링 세트 12,000 + 단품 5,000 혼합 객단가</t>
        </is>
      </c>
    </row>
    <row r="17">
      <c r="A17" s="3" t="inlineStr">
        <is>
          <t>③ 벤치마크와 비교 (정직 판정)</t>
        </is>
      </c>
    </row>
    <row r="18">
      <c r="A18" s="4" t="inlineStr">
        <is>
          <t>오피스 상권 10평 이하 '평균' 매출</t>
        </is>
      </c>
      <c r="B18" s="5" t="n">
        <v>8000000</v>
      </c>
      <c r="C18" s="2" t="inlineStr">
        <is>
          <t>월 800만 전후 (업계) — 개인 손님만으로 가능한 선</t>
        </is>
      </c>
    </row>
    <row r="19">
      <c r="A19" s="4" t="inlineStr">
        <is>
          <t>주거상권 10평 개인카페 흔한 매출 (참고)</t>
        </is>
      </c>
      <c r="B19" s="5" t="n">
        <v>4500000</v>
      </c>
      <c r="C19" s="2" t="inlineStr">
        <is>
          <t>월 400~500만 — 망원 '오후 네 시' 비교용</t>
        </is>
      </c>
    </row>
    <row r="20">
      <c r="A20" s="4" t="inlineStr">
        <is>
          <t>우리 '생존 매출' (위 ②)</t>
        </is>
      </c>
      <c r="B20" s="5">
        <f>B13</f>
        <v/>
      </c>
      <c r="C20" s="2" t="inlineStr">
        <is>
          <t>이만큼 팔아야 사장 월급 300 나옴</t>
        </is>
      </c>
    </row>
    <row r="21">
      <c r="A21" s="4" t="inlineStr">
        <is>
          <t>기존 2주 시뮬 데이터 수준</t>
        </is>
      </c>
      <c r="B21" s="5" t="n">
        <v>16000000</v>
      </c>
      <c r="C21" s="2" t="inlineStr">
        <is>
          <t>B2B 박스가 매출 27%일 때 — 검증 대상</t>
        </is>
      </c>
    </row>
    <row r="23">
      <c r="A23" s="15" t="inlineStr">
        <is>
          <t>판정: 오피스 평균(월 800만)으로는 사장 월급이 안 나온다 — 개인 커피만 팔면 평균에 수렴한다.</t>
        </is>
      </c>
    </row>
    <row r="24">
      <c r="A24" s="15" t="inlineStr">
        <is>
          <t>'B2B 디저트박스+구독'으로 평균의 2배(월 1,185만·일 45.6만)를 넘는 것이 이 창업의 성립 조건.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2026-07-07T09:55:00Z</dcterms:created>
  <dcterms:modified xmlns:dcterms="http://purl.org/dc/terms/" xmlns:xsi="http://www.w3.org/2001/XMLSchema-instance" xsi:type="dcterms:W3CDTF">2026-07-07T09:55:00Z</dcterms:modified>
</cp:coreProperties>
</file>