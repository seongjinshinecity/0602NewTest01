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뷰원본" sheetId="1" state="visible" r:id="rId1"/>
    <sheet xmlns:r="http://schemas.openxmlformats.org/officeDocument/2006/relationships" name="VoC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2A44"/>
      <sz val="13"/>
    </font>
    <font>
      <name val="Arial"/>
      <b val="1"/>
      <color rgb="002F3B52"/>
      <sz val="11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별점 분포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'VoC분석'!B4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'VoC분석'!$A$5:$A$9</f>
            </numRef>
          </cat>
          <val>
            <numRef>
              <f>'VoC분석'!$B$5:$B$9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별점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리뷰 수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테마별 리뷰 수 (전체 vs 부정)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'VoC분석'!E4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'VoC분석'!$D$5:$D$11</f>
            </numRef>
          </cat>
          <val>
            <numRef>
              <f>'VoC분석'!$E$5:$E$11</f>
            </numRef>
          </val>
        </ser>
        <ser>
          <idx val="1"/>
          <order val="1"/>
          <tx>
            <strRef>
              <f>'VoC분석'!F4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'VoC분석'!$D$5:$D$11</f>
            </numRef>
          </cat>
          <val>
            <numRef>
              <f>'VoC분석'!$F$5:$F$11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6" customWidth="1" min="3" max="3"/>
    <col width="6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플랫폼</t>
        </is>
      </c>
      <c r="C1" s="1" t="inlineStr">
        <is>
          <t>별점</t>
        </is>
      </c>
      <c r="D1" s="1" t="inlineStr">
        <is>
          <t>리뷰</t>
        </is>
      </c>
      <c r="E1" s="1" t="inlineStr">
        <is>
          <t>테마</t>
        </is>
      </c>
    </row>
    <row r="2">
      <c r="A2" s="2" t="inlineStr">
        <is>
          <t>2026-06-22</t>
        </is>
      </c>
      <c r="B2" s="2" t="inlineStr">
        <is>
          <t>네이버</t>
        </is>
      </c>
      <c r="C2" s="3" t="n">
        <v>5</v>
      </c>
      <c r="D2" s="2" t="inlineStr">
        <is>
          <t>치즈케이크가 입에서 녹아요. 직접 굽는 디저트라 확실히 다름</t>
        </is>
      </c>
      <c r="E2" s="2" t="inlineStr">
        <is>
          <t>디저트</t>
        </is>
      </c>
    </row>
    <row r="3">
      <c r="A3" s="2" t="inlineStr">
        <is>
          <t>2026-06-22</t>
        </is>
      </c>
      <c r="B3" s="2" t="inlineStr">
        <is>
          <t>카카오맵</t>
        </is>
      </c>
      <c r="C3" s="3" t="n">
        <v>4</v>
      </c>
      <c r="D3" s="2" t="inlineStr">
        <is>
          <t>아메리카노 산미 밸런스 좋고 조용해서 작업하기 좋아요</t>
        </is>
      </c>
      <c r="E3" s="2" t="inlineStr">
        <is>
          <t>맛</t>
        </is>
      </c>
    </row>
    <row r="4">
      <c r="A4" s="2" t="inlineStr">
        <is>
          <t>2026-06-23</t>
        </is>
      </c>
      <c r="B4" s="2" t="inlineStr">
        <is>
          <t>인스타</t>
        </is>
      </c>
      <c r="C4" s="3" t="n">
        <v>5</v>
      </c>
      <c r="D4" s="2" t="inlineStr">
        <is>
          <t>크로플 겉바속촉 최고. 성수동 디저트 맛집 인정</t>
        </is>
      </c>
      <c r="E4" s="2" t="inlineStr">
        <is>
          <t>디저트</t>
        </is>
      </c>
    </row>
    <row r="5">
      <c r="A5" s="4" t="inlineStr">
        <is>
          <t>2026-06-23</t>
        </is>
      </c>
      <c r="B5" s="4" t="inlineStr">
        <is>
          <t>네이버</t>
        </is>
      </c>
      <c r="C5" s="5" t="n">
        <v>2</v>
      </c>
      <c r="D5" s="4" t="inlineStr">
        <is>
          <t>맛은 좋은데 주말에 30분 넘게 기다렸어요. 자리가 너무 적음</t>
        </is>
      </c>
      <c r="E5" s="4" t="inlineStr">
        <is>
          <t>대기시간</t>
        </is>
      </c>
    </row>
    <row r="6">
      <c r="A6" s="2" t="inlineStr">
        <is>
          <t>2026-06-24</t>
        </is>
      </c>
      <c r="B6" s="2" t="inlineStr">
        <is>
          <t>카카오맵</t>
        </is>
      </c>
      <c r="C6" s="3" t="n">
        <v>5</v>
      </c>
      <c r="D6" s="2" t="inlineStr">
        <is>
          <t>바닐라라떼 안 달고 딱 좋아요. 우드톤 인테리어 아늑함</t>
        </is>
      </c>
      <c r="E6" s="2" t="inlineStr">
        <is>
          <t>분위기</t>
        </is>
      </c>
    </row>
    <row r="7">
      <c r="A7" s="2" t="inlineStr">
        <is>
          <t>2026-06-25</t>
        </is>
      </c>
      <c r="B7" s="2" t="inlineStr">
        <is>
          <t>네이버</t>
        </is>
      </c>
      <c r="C7" s="3" t="n">
        <v>4</v>
      </c>
      <c r="D7" s="2" t="inlineStr">
        <is>
          <t>디저트 가격이 살짝 있지만 퀄리티 생각하면 납득</t>
        </is>
      </c>
      <c r="E7" s="2" t="inlineStr">
        <is>
          <t>가격</t>
        </is>
      </c>
    </row>
    <row r="8">
      <c r="A8" s="2" t="inlineStr">
        <is>
          <t>2026-06-25</t>
        </is>
      </c>
      <c r="B8" s="2" t="inlineStr">
        <is>
          <t>인스타</t>
        </is>
      </c>
      <c r="C8" s="3" t="n">
        <v>5</v>
      </c>
      <c r="D8" s="2" t="inlineStr">
        <is>
          <t>사장님이 메뉴 하나하나 설명해주셔서 좋았어요</t>
        </is>
      </c>
      <c r="E8" s="2" t="inlineStr">
        <is>
          <t>친절</t>
        </is>
      </c>
    </row>
    <row r="9">
      <c r="A9" s="2" t="inlineStr">
        <is>
          <t>2026-06-26</t>
        </is>
      </c>
      <c r="B9" s="2" t="inlineStr">
        <is>
          <t>카카오맵</t>
        </is>
      </c>
      <c r="C9" s="3" t="n">
        <v>3</v>
      </c>
      <c r="D9" s="2" t="inlineStr">
        <is>
          <t>평일 점심 테이크아웃 줄이 길어요. 회전이 느린 편</t>
        </is>
      </c>
      <c r="E9" s="2" t="inlineStr">
        <is>
          <t>대기시간</t>
        </is>
      </c>
    </row>
    <row r="10">
      <c r="A10" s="2" t="inlineStr">
        <is>
          <t>2026-06-26</t>
        </is>
      </c>
      <c r="B10" s="2" t="inlineStr">
        <is>
          <t>네이버</t>
        </is>
      </c>
      <c r="C10" s="3" t="n">
        <v>5</v>
      </c>
      <c r="D10" s="2" t="inlineStr">
        <is>
          <t>자몽에이드 상큼하고 치즈케이크랑 조합 좋아요</t>
        </is>
      </c>
      <c r="E10" s="2" t="inlineStr">
        <is>
          <t>맛</t>
        </is>
      </c>
    </row>
    <row r="11">
      <c r="A11" s="4" t="inlineStr">
        <is>
          <t>2026-06-27</t>
        </is>
      </c>
      <c r="B11" s="4" t="inlineStr">
        <is>
          <t>인스타</t>
        </is>
      </c>
      <c r="C11" s="5" t="n">
        <v>2</v>
      </c>
      <c r="D11" s="4" t="inlineStr">
        <is>
          <t>토요일 오후에 갔더니 치즈케이크 품절 + 대기 40분. 두 번 허탕</t>
        </is>
      </c>
      <c r="E11" s="4" t="inlineStr">
        <is>
          <t>대기시간</t>
        </is>
      </c>
    </row>
    <row r="12">
      <c r="A12" s="2" t="inlineStr">
        <is>
          <t>2026-06-28</t>
        </is>
      </c>
      <c r="B12" s="2" t="inlineStr">
        <is>
          <t>네이버</t>
        </is>
      </c>
      <c r="C12" s="3" t="n">
        <v>5</v>
      </c>
      <c r="D12" s="2" t="inlineStr">
        <is>
          <t>카공하기 최고. 콘센트 많고 눈치 안 보여서 단골 됨</t>
        </is>
      </c>
      <c r="E12" s="2" t="inlineStr">
        <is>
          <t>분위기</t>
        </is>
      </c>
    </row>
    <row r="13">
      <c r="A13" s="2" t="inlineStr">
        <is>
          <t>2026-06-29</t>
        </is>
      </c>
      <c r="B13" s="2" t="inlineStr">
        <is>
          <t>카카오맵</t>
        </is>
      </c>
      <c r="C13" s="3" t="n">
        <v>4</v>
      </c>
      <c r="D13" s="2" t="inlineStr">
        <is>
          <t>크로플이랑 카푸치노 조합 추천. 매장이 깨끗해요</t>
        </is>
      </c>
      <c r="E13" s="2" t="inlineStr">
        <is>
          <t>청결</t>
        </is>
      </c>
    </row>
    <row r="14">
      <c r="A14" s="2" t="inlineStr">
        <is>
          <t>2026-06-30</t>
        </is>
      </c>
      <c r="B14" s="2" t="inlineStr">
        <is>
          <t>네이버</t>
        </is>
      </c>
      <c r="C14" s="3" t="n">
        <v>5</v>
      </c>
      <c r="D14" s="2" t="inlineStr">
        <is>
          <t>디저트 쇼케이스 보는 재미가 있어요. 매일 굽는다는 게 진짜임</t>
        </is>
      </c>
      <c r="E14" s="2" t="inlineStr">
        <is>
          <t>디저트</t>
        </is>
      </c>
    </row>
    <row r="15">
      <c r="A15" s="2" t="inlineStr">
        <is>
          <t>2026-07-01</t>
        </is>
      </c>
      <c r="B15" s="2" t="inlineStr">
        <is>
          <t>인스타</t>
        </is>
      </c>
      <c r="C15" s="3" t="n">
        <v>4</v>
      </c>
      <c r="D15" s="2" t="inlineStr">
        <is>
          <t>분위기 조용하고 음악 선곡 좋아요. 좌석이 조금만 더 있었으면</t>
        </is>
      </c>
      <c r="E15" s="2" t="inlineStr">
        <is>
          <t>분위기</t>
        </is>
      </c>
    </row>
    <row r="16">
      <c r="A16" s="4" t="inlineStr">
        <is>
          <t>2026-07-01</t>
        </is>
      </c>
      <c r="B16" s="4" t="inlineStr">
        <is>
          <t>카카오맵</t>
        </is>
      </c>
      <c r="C16" s="5" t="n">
        <v>1</v>
      </c>
      <c r="D16" s="4" t="inlineStr">
        <is>
          <t>점심시간에 20분 기다리다 포기하고 나왔습니다</t>
        </is>
      </c>
      <c r="E16" s="4" t="inlineStr">
        <is>
          <t>대기시간</t>
        </is>
      </c>
    </row>
    <row r="17">
      <c r="A17" s="2" t="inlineStr">
        <is>
          <t>2026-07-02</t>
        </is>
      </c>
      <c r="B17" s="2" t="inlineStr">
        <is>
          <t>네이버</t>
        </is>
      </c>
      <c r="C17" s="3" t="n">
        <v>5</v>
      </c>
      <c r="D17" s="2" t="inlineStr">
        <is>
          <t>치즈케이크 선물 포장해줬는데 반응 최고였어요</t>
        </is>
      </c>
      <c r="E17" s="2" t="inlineStr">
        <is>
          <t>친절</t>
        </is>
      </c>
    </row>
    <row r="18">
      <c r="A18" s="2" t="inlineStr">
        <is>
          <t>2026-07-03</t>
        </is>
      </c>
      <c r="B18" s="2" t="inlineStr">
        <is>
          <t>카카오맵</t>
        </is>
      </c>
      <c r="C18" s="3" t="n">
        <v>4</v>
      </c>
      <c r="D18" s="2" t="inlineStr">
        <is>
          <t>커피 가격은 평범한데 디저트가 확실한 강점</t>
        </is>
      </c>
      <c r="E18" s="2" t="inlineStr">
        <is>
          <t>가격</t>
        </is>
      </c>
    </row>
    <row r="19">
      <c r="A19" s="2" t="inlineStr">
        <is>
          <t>2026-07-04</t>
        </is>
      </c>
      <c r="B19" s="2" t="inlineStr">
        <is>
          <t>인스타</t>
        </is>
      </c>
      <c r="C19" s="3" t="n">
        <v>5</v>
      </c>
      <c r="D19" s="2" t="inlineStr">
        <is>
          <t>주말 디저트 모임 장소로 딱. 크로플 두 개 시킴</t>
        </is>
      </c>
      <c r="E19" s="2" t="inlineStr">
        <is>
          <t>디저트</t>
        </is>
      </c>
    </row>
    <row r="20">
      <c r="A20" s="2" t="inlineStr">
        <is>
          <t>2026-07-04</t>
        </is>
      </c>
      <c r="B20" s="2" t="inlineStr">
        <is>
          <t>네이버</t>
        </is>
      </c>
      <c r="C20" s="3" t="n">
        <v>3</v>
      </c>
      <c r="D20" s="2" t="inlineStr">
        <is>
          <t>맛은 5점인데 주말 웨이팅이 힘들어요. 예약이 됐으면</t>
        </is>
      </c>
      <c r="E20" s="2" t="inlineStr">
        <is>
          <t>대기시간</t>
        </is>
      </c>
    </row>
    <row r="21">
      <c r="A21" s="2" t="inlineStr">
        <is>
          <t>2026-07-05</t>
        </is>
      </c>
      <c r="B21" s="2" t="inlineStr">
        <is>
          <t>카카오맵</t>
        </is>
      </c>
      <c r="C21" s="3" t="n">
        <v>5</v>
      </c>
      <c r="D21" s="2" t="inlineStr">
        <is>
          <t>여름 신메뉴 기대돼요. 매장 항상 깔끔하게 관리됨</t>
        </is>
      </c>
      <c r="E21" s="2" t="inlineStr">
        <is>
          <t>청결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" customWidth="1" min="3" max="3"/>
    <col width="12" customWidth="1" min="4" max="4"/>
    <col width="8" customWidth="1" min="5" max="5"/>
    <col width="11" customWidth="1" min="6" max="6"/>
    <col width="3" customWidth="1" min="7" max="7"/>
    <col width="6" customWidth="1" min="8" max="8"/>
    <col width="12" customWidth="1" min="9" max="9"/>
    <col width="8" customWidth="1" min="10" max="10"/>
  </cols>
  <sheetData>
    <row r="1">
      <c r="A1" s="6" t="inlineStr">
        <is>
          <t>데일리브루 손님 리뷰 VoC 분석 (2026-06-22 ~ 07-05, 20건)</t>
        </is>
      </c>
    </row>
    <row r="3">
      <c r="A3" s="7" t="inlineStr">
        <is>
          <t>① 별점 분포</t>
        </is>
      </c>
      <c r="D3" s="7" t="inlineStr">
        <is>
          <t>② 테마별 리뷰 수 (피벗)</t>
        </is>
      </c>
      <c r="H3" s="7" t="inlineStr">
        <is>
          <t>③ 부정 리뷰(별점≤2) 테마 Top3</t>
        </is>
      </c>
    </row>
    <row r="4">
      <c r="A4" s="1" t="inlineStr">
        <is>
          <t>별점</t>
        </is>
      </c>
      <c r="B4" s="1" t="inlineStr">
        <is>
          <t>리뷰 수</t>
        </is>
      </c>
      <c r="D4" s="1" t="inlineStr">
        <is>
          <t>테마</t>
        </is>
      </c>
      <c r="E4" s="1" t="inlineStr">
        <is>
          <t>전체</t>
        </is>
      </c>
      <c r="F4" s="1" t="inlineStr">
        <is>
          <t>부정(≤2점)</t>
        </is>
      </c>
      <c r="H4" s="1" t="inlineStr">
        <is>
          <t>순위</t>
        </is>
      </c>
      <c r="I4" s="1" t="inlineStr">
        <is>
          <t>테마</t>
        </is>
      </c>
      <c r="J4" s="1" t="inlineStr">
        <is>
          <t>건수</t>
        </is>
      </c>
    </row>
    <row r="5">
      <c r="A5" s="8" t="n">
        <v>1</v>
      </c>
      <c r="B5" s="8">
        <f>COUNTIF(리뷰원본!$C$2:$C$21,A5)</f>
        <v/>
      </c>
      <c r="D5" s="8" t="inlineStr">
        <is>
          <t>맛</t>
        </is>
      </c>
      <c r="E5" s="8">
        <f>COUNTIF(리뷰원본!$E$2:$E$21,D5)</f>
        <v/>
      </c>
      <c r="F5" s="8">
        <f>COUNTIFS(리뷰원본!$E$2:$E$21,D5,리뷰원본!$C$2:$C$21,"&lt;=2")</f>
        <v/>
      </c>
      <c r="H5" s="8" t="n">
        <v>1</v>
      </c>
      <c r="I5" s="8">
        <f>IF(J5=0,"—",INDEX($D$5:$D$11,MATCH(J5,$F$5:$F$11,0)))</f>
        <v/>
      </c>
      <c r="J5" s="8">
        <f>LARGE($F$5:$F$11,1)</f>
        <v/>
      </c>
    </row>
    <row r="6">
      <c r="A6" s="8" t="n">
        <v>2</v>
      </c>
      <c r="B6" s="8">
        <f>COUNTIF(리뷰원본!$C$2:$C$21,A6)</f>
        <v/>
      </c>
      <c r="D6" s="8" t="inlineStr">
        <is>
          <t>분위기</t>
        </is>
      </c>
      <c r="E6" s="8">
        <f>COUNTIF(리뷰원본!$E$2:$E$21,D6)</f>
        <v/>
      </c>
      <c r="F6" s="8">
        <f>COUNTIFS(리뷰원본!$E$2:$E$21,D6,리뷰원본!$C$2:$C$21,"&lt;=2")</f>
        <v/>
      </c>
      <c r="H6" s="8" t="n">
        <v>2</v>
      </c>
      <c r="I6" s="8">
        <f>IF(J6=0,"—",INDEX($D$5:$D$11,MATCH(J6,$F$5:$F$11,0)))</f>
        <v/>
      </c>
      <c r="J6" s="8">
        <f>LARGE($F$5:$F$11,2)</f>
        <v/>
      </c>
    </row>
    <row r="7">
      <c r="A7" s="8" t="n">
        <v>3</v>
      </c>
      <c r="B7" s="8">
        <f>COUNTIF(리뷰원본!$C$2:$C$21,A7)</f>
        <v/>
      </c>
      <c r="D7" s="8" t="inlineStr">
        <is>
          <t>디저트</t>
        </is>
      </c>
      <c r="E7" s="8">
        <f>COUNTIF(리뷰원본!$E$2:$E$21,D7)</f>
        <v/>
      </c>
      <c r="F7" s="8">
        <f>COUNTIFS(리뷰원본!$E$2:$E$21,D7,리뷰원본!$C$2:$C$21,"&lt;=2")</f>
        <v/>
      </c>
      <c r="H7" s="8" t="n">
        <v>3</v>
      </c>
      <c r="I7" s="8">
        <f>IF(J7=0,"—",INDEX($D$5:$D$11,MATCH(J7,$F$5:$F$11,0)))</f>
        <v/>
      </c>
      <c r="J7" s="8">
        <f>LARGE($F$5:$F$11,3)</f>
        <v/>
      </c>
    </row>
    <row r="8">
      <c r="A8" s="8" t="n">
        <v>4</v>
      </c>
      <c r="B8" s="8">
        <f>COUNTIF(리뷰원본!$C$2:$C$21,A8)</f>
        <v/>
      </c>
      <c r="D8" s="8" t="inlineStr">
        <is>
          <t>대기시간</t>
        </is>
      </c>
      <c r="E8" s="8">
        <f>COUNTIF(리뷰원본!$E$2:$E$21,D8)</f>
        <v/>
      </c>
      <c r="F8" s="8">
        <f>COUNTIFS(리뷰원본!$E$2:$E$21,D8,리뷰원본!$C$2:$C$21,"&lt;=2")</f>
        <v/>
      </c>
    </row>
    <row r="9">
      <c r="A9" s="8" t="n">
        <v>5</v>
      </c>
      <c r="B9" s="8">
        <f>COUNTIF(리뷰원본!$C$2:$C$21,A9)</f>
        <v/>
      </c>
      <c r="D9" s="8" t="inlineStr">
        <is>
          <t>가격</t>
        </is>
      </c>
      <c r="E9" s="8">
        <f>COUNTIF(리뷰원본!$E$2:$E$21,D9)</f>
        <v/>
      </c>
      <c r="F9" s="8">
        <f>COUNTIFS(리뷰원본!$E$2:$E$21,D9,리뷰원본!$C$2:$C$21,"&lt;=2")</f>
        <v/>
      </c>
    </row>
    <row r="10">
      <c r="A10" s="8" t="inlineStr">
        <is>
          <t>합계</t>
        </is>
      </c>
      <c r="B10" s="8">
        <f>SUM(B5:B9)</f>
        <v/>
      </c>
      <c r="D10" s="8" t="inlineStr">
        <is>
          <t>친절</t>
        </is>
      </c>
      <c r="E10" s="8">
        <f>COUNTIF(리뷰원본!$E$2:$E$21,D10)</f>
        <v/>
      </c>
      <c r="F10" s="8">
        <f>COUNTIFS(리뷰원본!$E$2:$E$21,D10,리뷰원본!$C$2:$C$21,"&lt;=2")</f>
        <v/>
      </c>
    </row>
    <row r="11">
      <c r="A11" s="8" t="inlineStr">
        <is>
          <t>평균 별점</t>
        </is>
      </c>
      <c r="B11" s="8">
        <f>ROUND(AVERAGE(리뷰원본!$C$2:$C$21),2)</f>
        <v/>
      </c>
      <c r="D11" s="8" t="inlineStr">
        <is>
          <t>청결</t>
        </is>
      </c>
      <c r="E11" s="8">
        <f>COUNTIF(리뷰원본!$E$2:$E$21,D11)</f>
        <v/>
      </c>
      <c r="F11" s="8">
        <f>COUNTIFS(리뷰원본!$E$2:$E$21,D11,리뷰원본!$C$2:$C$21,"&lt;=2")</f>
        <v/>
      </c>
    </row>
    <row r="14">
      <c r="A14" s="7" t="inlineStr">
        <is>
          <t>④ 핵심 인사이트</t>
        </is>
      </c>
    </row>
    <row r="15">
      <c r="A15" s="9" t="inlineStr">
        <is>
          <t>• 긍정 축: 디저트(직접 굽는 치즈케이크·크로플)와 맛 — 5점 리뷰의 중심.</t>
        </is>
      </c>
    </row>
    <row r="16">
      <c r="A16" s="9" t="inlineStr">
        <is>
          <t>• 부정 1위: 대기시간 — 부정 리뷰 전부가 주말·점심 웨이팅/품절/회전 문제.</t>
        </is>
      </c>
    </row>
    <row r="17">
      <c r="A17" s="9" t="inlineStr">
        <is>
          <t>• 액션: ① 주말 치즈케이크 증량(품절 방지) ② 점심 선포장 테이크아웃 ③ 대기 안내(예상시간) 도입.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2026-07-08T12:43:50Z</dcterms:created>
  <dcterms:modified xmlns:dcterms="http://purl.org/dc/terms/" xmlns:xsi="http://www.w3.org/2001/XMLSchema-instance" xsi:type="dcterms:W3CDTF">2026-07-08T12:45:00Z</dcterms:modified>
</cp:coreProperties>
</file>