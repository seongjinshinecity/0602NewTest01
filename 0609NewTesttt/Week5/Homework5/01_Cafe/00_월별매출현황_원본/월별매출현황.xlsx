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;($#,##0);-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color rgb="00000000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4" fontId="4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/>
    </xf>
    <xf numFmtId="166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월별 매출·비용·이익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'월별매출'!B3</f>
            </strRef>
          </tx>
          <spPr>
            <a:ln>
              <a:prstDash val="solid"/>
            </a:ln>
          </spPr>
          <cat>
            <numRef>
              <f>'월별매출'!$A$4:$A$9</f>
            </numRef>
          </cat>
          <val>
            <numRef>
              <f>'월별매출'!$B$4:$B$9</f>
            </numRef>
          </val>
        </ser>
        <ser>
          <idx val="1"/>
          <order val="1"/>
          <tx>
            <strRef>
              <f>'월별매출'!C3</f>
            </strRef>
          </tx>
          <spPr>
            <a:ln>
              <a:prstDash val="solid"/>
            </a:ln>
          </spPr>
          <cat>
            <numRef>
              <f>'월별매출'!$A$4:$A$9</f>
            </numRef>
          </cat>
          <val>
            <numRef>
              <f>'월별매출'!$C$4:$C$9</f>
            </numRef>
          </val>
        </ser>
        <ser>
          <idx val="2"/>
          <order val="2"/>
          <tx>
            <strRef>
              <f>'월별매출'!D3</f>
            </strRef>
          </tx>
          <spPr>
            <a:ln>
              <a:prstDash val="solid"/>
            </a:ln>
          </spPr>
          <cat>
            <numRef>
              <f>'월별매출'!$A$4:$A$9</f>
            </numRef>
          </cat>
          <val>
            <numRef>
              <f>'월별매출'!$D$4:$D$9</f>
            </numRef>
          </val>
        </ser>
        <gapWidth val="150"/>
        <axId val="10"/>
        <axId val="100"/>
      </barChart>
      <lineChart>
        <grouping val="standard"/>
        <ser>
          <idx val="3"/>
          <order val="3"/>
          <tx>
            <strRef>
              <f>'월별매출'!E3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'월별매출'!$A$4:$A$9</f>
            </numRef>
          </cat>
          <val>
            <numRef>
              <f>'월별매출'!$E$4:$E$9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 ($)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전월 대비 (%)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2026년 상반기 월별 매출 현황</t>
        </is>
      </c>
    </row>
    <row r="3">
      <c r="A3" s="2" t="inlineStr">
        <is>
          <t>월</t>
        </is>
      </c>
      <c r="B3" s="2" t="inlineStr">
        <is>
          <t>매출 ($)</t>
        </is>
      </c>
      <c r="C3" s="2" t="inlineStr">
        <is>
          <t>비용 ($)</t>
        </is>
      </c>
      <c r="D3" s="2" t="inlineStr">
        <is>
          <t>이익 ($)</t>
        </is>
      </c>
      <c r="E3" s="2" t="inlineStr">
        <is>
          <t>전월 대비 (%)</t>
        </is>
      </c>
    </row>
    <row r="4">
      <c r="A4" s="3" t="inlineStr">
        <is>
          <t>1월</t>
        </is>
      </c>
      <c r="B4" s="4" t="n">
        <v>12000</v>
      </c>
      <c r="C4" s="4" t="n">
        <v>7000</v>
      </c>
      <c r="D4" s="5">
        <f>B4-C4</f>
        <v>5000</v>
      </c>
      <c r="E4" s="6" t="inlineStr">
        <is>
          <t>-</t>
        </is>
      </c>
    </row>
    <row r="5">
      <c r="A5" s="3" t="inlineStr">
        <is>
          <t>2월</t>
        </is>
      </c>
      <c r="B5" s="4" t="n">
        <v>13500</v>
      </c>
      <c r="C5" s="4" t="n">
        <v>7200</v>
      </c>
      <c r="D5" s="5">
        <f>B5-C5</f>
        <v>6300</v>
      </c>
      <c r="E5" s="7">
        <f>(B5-B4)/B4</f>
        <v>0.125</v>
      </c>
    </row>
    <row r="6">
      <c r="A6" s="3" t="inlineStr">
        <is>
          <t>3월</t>
        </is>
      </c>
      <c r="B6" s="4" t="n">
        <v>15800</v>
      </c>
      <c r="C6" s="4" t="n">
        <v>8100</v>
      </c>
      <c r="D6" s="5">
        <f>B6-C6</f>
        <v>7700</v>
      </c>
      <c r="E6" s="7">
        <f>(B6-B5)/B5</f>
        <v>0.17037037037037037</v>
      </c>
    </row>
    <row r="7">
      <c r="A7" s="3" t="inlineStr">
        <is>
          <t>4월</t>
        </is>
      </c>
      <c r="B7" s="4" t="n">
        <v>14200</v>
      </c>
      <c r="C7" s="4" t="n">
        <v>7800</v>
      </c>
      <c r="D7" s="5">
        <f>B7-C7</f>
        <v>6400</v>
      </c>
      <c r="E7" s="7">
        <f>(B7-B6)/B6</f>
        <v>-0.10126582278481013</v>
      </c>
    </row>
    <row r="8">
      <c r="A8" s="3" t="inlineStr">
        <is>
          <t>5월</t>
        </is>
      </c>
      <c r="B8" s="4" t="n">
        <v>17600</v>
      </c>
      <c r="C8" s="4" t="n">
        <v>8500</v>
      </c>
      <c r="D8" s="5">
        <f>B8-C8</f>
        <v>9100</v>
      </c>
      <c r="E8" s="7">
        <f>(B8-B7)/B7</f>
        <v>0.23943661971830985</v>
      </c>
    </row>
    <row r="9">
      <c r="A9" s="3" t="inlineStr">
        <is>
          <t>6월</t>
        </is>
      </c>
      <c r="B9" s="4" t="n">
        <v>19300</v>
      </c>
      <c r="C9" s="4" t="n">
        <v>9100</v>
      </c>
      <c r="D9" s="5">
        <f>B9-C9</f>
        <v>10200</v>
      </c>
      <c r="E9" s="7">
        <f>(B9-B8)/B8</f>
        <v>0.09659090909090909</v>
      </c>
    </row>
    <row r="10">
      <c r="A10" s="8" t="inlineStr">
        <is>
          <t>합계</t>
        </is>
      </c>
      <c r="B10" s="9">
        <f>SUM(B4:B9)</f>
        <v>92400</v>
      </c>
      <c r="C10" s="9">
        <f>SUM(C4:C9)</f>
        <v>47700</v>
      </c>
      <c r="D10" s="9">
        <f>SUM(D4:D9)</f>
        <v>44700</v>
      </c>
      <c r="E10" s="10" t="n"/>
    </row>
    <row r="11">
      <c r="A11" s="8" t="inlineStr">
        <is>
          <t>평균</t>
        </is>
      </c>
      <c r="B11" s="9">
        <f>AVERAGE(B4:B9)</f>
        <v>15400.0</v>
      </c>
      <c r="C11" s="9">
        <f>AVERAGE(C4:C9)</f>
        <v>7950.0</v>
      </c>
      <c r="D11" s="9">
        <f>AVERAGE(D4:D9)</f>
        <v>7450.0</v>
      </c>
      <c r="E11" s="10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2026-06-24T07:11:23Z</dcterms:created>
  <dcterms:modified xsi:type="dcterms:W3CDTF">2026-06-24T07:12:20Z</dcterms:modified>
</cp:coreProperties>
</file>