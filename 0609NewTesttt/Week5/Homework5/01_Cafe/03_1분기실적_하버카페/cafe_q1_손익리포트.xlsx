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" sheetId="1" state="visible" r:id="rId1"/>
    <sheet xmlns:r="http://schemas.openxmlformats.org/officeDocument/2006/relationships" name="월별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color rgb="001F2733"/>
    </font>
    <font>
      <name val="맑은 고딕"/>
      <b val="1"/>
      <color rgb="001F2733"/>
    </font>
    <font>
      <name val="맑은 고딕"/>
      <b val="1"/>
      <color rgb="001F2733"/>
      <sz val="12"/>
    </font>
  </fonts>
  <fills count="6">
    <fill>
      <patternFill/>
    </fill>
    <fill>
      <patternFill patternType="gray125"/>
    </fill>
    <fill>
      <patternFill patternType="solid">
        <fgColor rgb="002F6BF6"/>
      </patternFill>
    </fill>
    <fill>
      <patternFill patternType="solid">
        <fgColor rgb="005B8DEF"/>
      </patternFill>
    </fill>
    <fill>
      <patternFill patternType="solid">
        <fgColor rgb="00F4F8FF"/>
      </patternFill>
    </fill>
    <fill>
      <patternFill patternType="solid">
        <fgColor rgb="00E8F0FF"/>
      </patternFill>
    </fill>
  </fills>
  <borders count="2">
    <border>
      <left/>
      <right/>
      <top/>
      <bottom/>
      <diagonal/>
    </border>
    <border>
      <left style="thin">
        <color rgb="00DCE6F2"/>
      </left>
      <right style="thin">
        <color rgb="00DCE6F2"/>
      </right>
      <top style="thin">
        <color rgb="00DCE6F2"/>
      </top>
      <bottom style="thin">
        <color rgb="00DCE6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영업이익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'월별요약'!D3</f>
            </strRef>
          </tx>
          <spPr>
            <a:solidFill xmlns:a="http://schemas.openxmlformats.org/drawingml/2006/main">
              <a:srgbClr val="2F6BF6"/>
            </a:solidFill>
            <a:ln xmlns:a="http://schemas.openxmlformats.org/drawingml/2006/main">
              <a:prstDash val="solid"/>
            </a:ln>
          </spPr>
          <cat>
            <numRef>
              <f>'월별요약'!$A$4:$A$6</f>
            </numRef>
          </cat>
          <val>
            <numRef>
              <f>'월별요약'!$D$4:$D$6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2" customWidth="1" min="3" max="3"/>
    <col width="20" customWidth="1" min="4" max="4"/>
    <col width="14" customWidth="1" min="5" max="5"/>
  </cols>
  <sheetData>
    <row r="1" ht="26" customHeight="1">
      <c r="A1" s="1" t="inlineStr">
        <is>
          <t>QUARTER · Q1 거래 원본 (2026-03 ~ 2026-05)</t>
        </is>
      </c>
    </row>
    <row r="2">
      <c r="A2" s="2" t="inlineStr">
        <is>
          <t>날짜</t>
        </is>
      </c>
      <c r="B2" s="2" t="inlineStr">
        <is>
          <t>구분</t>
        </is>
      </c>
      <c r="C2" s="2" t="inlineStr">
        <is>
          <t>카테고리</t>
        </is>
      </c>
      <c r="D2" s="2" t="inlineStr">
        <is>
          <t>항목</t>
        </is>
      </c>
      <c r="E2" s="2" t="inlineStr">
        <is>
          <t>금액</t>
        </is>
      </c>
    </row>
    <row r="3">
      <c r="A3" s="3" t="n">
        <v>46082</v>
      </c>
      <c r="B3" s="4" t="inlineStr">
        <is>
          <t>비용</t>
        </is>
      </c>
      <c r="C3" s="4" t="inlineStr">
        <is>
          <t>임대료</t>
        </is>
      </c>
      <c r="D3" s="5" t="inlineStr">
        <is>
          <t>3월 임대료</t>
        </is>
      </c>
      <c r="E3" s="6" t="n">
        <v>1200000</v>
      </c>
    </row>
    <row r="4">
      <c r="A4" s="7" t="n">
        <v>46083</v>
      </c>
      <c r="B4" s="8" t="inlineStr">
        <is>
          <t>비용</t>
        </is>
      </c>
      <c r="C4" s="8" t="inlineStr">
        <is>
          <t>재료비</t>
        </is>
      </c>
      <c r="D4" s="9" t="inlineStr">
        <is>
          <t>원두·우유·재료</t>
        </is>
      </c>
      <c r="E4" s="10" t="n">
        <v>1540000</v>
      </c>
    </row>
    <row r="5">
      <c r="A5" s="3" t="n">
        <v>46089</v>
      </c>
      <c r="B5" s="4" t="inlineStr">
        <is>
          <t>매출</t>
        </is>
      </c>
      <c r="C5" s="4" t="inlineStr">
        <is>
          <t>음료</t>
        </is>
      </c>
      <c r="D5" s="5" t="inlineStr">
        <is>
          <t>주중 음료 매출</t>
        </is>
      </c>
      <c r="E5" s="6" t="n">
        <v>2300000</v>
      </c>
    </row>
    <row r="6">
      <c r="A6" s="7" t="n">
        <v>46093</v>
      </c>
      <c r="B6" s="8" t="inlineStr">
        <is>
          <t>비용</t>
        </is>
      </c>
      <c r="C6" s="8" t="inlineStr">
        <is>
          <t>마케팅</t>
        </is>
      </c>
      <c r="D6" s="9" t="inlineStr">
        <is>
          <t>인스타 광고</t>
        </is>
      </c>
      <c r="E6" s="10" t="n">
        <v>300000</v>
      </c>
    </row>
    <row r="7">
      <c r="A7" s="3" t="n">
        <v>46099</v>
      </c>
      <c r="B7" s="4" t="inlineStr">
        <is>
          <t>매출</t>
        </is>
      </c>
      <c r="C7" s="4" t="inlineStr">
        <is>
          <t>디저트</t>
        </is>
      </c>
      <c r="D7" s="5" t="inlineStr">
        <is>
          <t>케이크·쿠키</t>
        </is>
      </c>
      <c r="E7" s="6" t="n">
        <v>1820000</v>
      </c>
    </row>
    <row r="8">
      <c r="A8" s="7" t="n">
        <v>46103</v>
      </c>
      <c r="B8" s="8" t="inlineStr">
        <is>
          <t>매출</t>
        </is>
      </c>
      <c r="C8" s="8" t="inlineStr">
        <is>
          <t>음료</t>
        </is>
      </c>
      <c r="D8" s="9" t="inlineStr">
        <is>
          <t>주말 음료 매출</t>
        </is>
      </c>
      <c r="E8" s="10" t="n">
        <v>2050000</v>
      </c>
    </row>
    <row r="9">
      <c r="A9" s="3" t="n">
        <v>46106</v>
      </c>
      <c r="B9" s="4" t="inlineStr">
        <is>
          <t>비용</t>
        </is>
      </c>
      <c r="C9" s="4" t="inlineStr">
        <is>
          <t>인건비</t>
        </is>
      </c>
      <c r="D9" s="5" t="inlineStr">
        <is>
          <t>아르바이트 급여</t>
        </is>
      </c>
      <c r="E9" s="6" t="n">
        <v>1760000</v>
      </c>
    </row>
    <row r="10">
      <c r="A10" s="7" t="n">
        <v>46109</v>
      </c>
      <c r="B10" s="8" t="inlineStr">
        <is>
          <t>매출</t>
        </is>
      </c>
      <c r="C10" s="8" t="inlineStr">
        <is>
          <t>원두판매</t>
        </is>
      </c>
      <c r="D10" s="9" t="inlineStr">
        <is>
          <t>원두 소매</t>
        </is>
      </c>
      <c r="E10" s="10" t="n">
        <v>640000</v>
      </c>
    </row>
    <row r="11">
      <c r="A11" s="3" t="n">
        <v>46113</v>
      </c>
      <c r="B11" s="4" t="inlineStr">
        <is>
          <t>비용</t>
        </is>
      </c>
      <c r="C11" s="4" t="inlineStr">
        <is>
          <t>임대료</t>
        </is>
      </c>
      <c r="D11" s="5" t="inlineStr">
        <is>
          <t>4월 임대료</t>
        </is>
      </c>
      <c r="E11" s="6" t="n">
        <v>1200000</v>
      </c>
    </row>
    <row r="12">
      <c r="A12" s="7" t="n">
        <v>46114</v>
      </c>
      <c r="B12" s="8" t="inlineStr">
        <is>
          <t>비용</t>
        </is>
      </c>
      <c r="C12" s="8" t="inlineStr">
        <is>
          <t>재료비</t>
        </is>
      </c>
      <c r="D12" s="9" t="inlineStr">
        <is>
          <t>원두·우유·재료</t>
        </is>
      </c>
      <c r="E12" s="10" t="n">
        <v>1680000</v>
      </c>
    </row>
    <row r="13">
      <c r="A13" s="3" t="n">
        <v>46121</v>
      </c>
      <c r="B13" s="4" t="inlineStr">
        <is>
          <t>매출</t>
        </is>
      </c>
      <c r="C13" s="4" t="inlineStr">
        <is>
          <t>음료</t>
        </is>
      </c>
      <c r="D13" s="5" t="inlineStr">
        <is>
          <t>주중 음료 매출</t>
        </is>
      </c>
      <c r="E13" s="6" t="n">
        <v>2560000</v>
      </c>
    </row>
    <row r="14">
      <c r="A14" s="7" t="n">
        <v>46126</v>
      </c>
      <c r="B14" s="8" t="inlineStr">
        <is>
          <t>비용</t>
        </is>
      </c>
      <c r="C14" s="8" t="inlineStr">
        <is>
          <t>마케팅</t>
        </is>
      </c>
      <c r="D14" s="9" t="inlineStr">
        <is>
          <t>인스타 광고·전단</t>
        </is>
      </c>
      <c r="E14" s="10" t="n">
        <v>450000</v>
      </c>
    </row>
    <row r="15">
      <c r="A15" s="3" t="n">
        <v>46129</v>
      </c>
      <c r="B15" s="4" t="inlineStr">
        <is>
          <t>매출</t>
        </is>
      </c>
      <c r="C15" s="4" t="inlineStr">
        <is>
          <t>디저트</t>
        </is>
      </c>
      <c r="D15" s="5" t="inlineStr">
        <is>
          <t>케이크·쿠키</t>
        </is>
      </c>
      <c r="E15" s="6" t="n">
        <v>1990000</v>
      </c>
    </row>
    <row r="16">
      <c r="A16" s="7" t="n">
        <v>46133</v>
      </c>
      <c r="B16" s="8" t="inlineStr">
        <is>
          <t>매출</t>
        </is>
      </c>
      <c r="C16" s="8" t="inlineStr">
        <is>
          <t>음료</t>
        </is>
      </c>
      <c r="D16" s="9" t="inlineStr">
        <is>
          <t>주말 음료 매출</t>
        </is>
      </c>
      <c r="E16" s="10" t="n">
        <v>2280000</v>
      </c>
    </row>
    <row r="17">
      <c r="A17" s="3" t="n">
        <v>46137</v>
      </c>
      <c r="B17" s="4" t="inlineStr">
        <is>
          <t>비용</t>
        </is>
      </c>
      <c r="C17" s="4" t="inlineStr">
        <is>
          <t>인건비</t>
        </is>
      </c>
      <c r="D17" s="5" t="inlineStr">
        <is>
          <t>아르바이트 급여</t>
        </is>
      </c>
      <c r="E17" s="6" t="n">
        <v>1820000</v>
      </c>
    </row>
    <row r="18">
      <c r="A18" s="7" t="n">
        <v>46139</v>
      </c>
      <c r="B18" s="8" t="inlineStr">
        <is>
          <t>매출</t>
        </is>
      </c>
      <c r="C18" s="8" t="inlineStr">
        <is>
          <t>원두판매</t>
        </is>
      </c>
      <c r="D18" s="9" t="inlineStr">
        <is>
          <t>원두 소매</t>
        </is>
      </c>
      <c r="E18" s="10" t="n">
        <v>720000</v>
      </c>
    </row>
    <row r="19">
      <c r="A19" s="3" t="n">
        <v>46143</v>
      </c>
      <c r="B19" s="4" t="inlineStr">
        <is>
          <t>비용</t>
        </is>
      </c>
      <c r="C19" s="4" t="inlineStr">
        <is>
          <t>임대료</t>
        </is>
      </c>
      <c r="D19" s="5" t="inlineStr">
        <is>
          <t>5월 임대료</t>
        </is>
      </c>
      <c r="E19" s="6" t="n">
        <v>1200000</v>
      </c>
    </row>
    <row r="20">
      <c r="A20" s="7" t="n">
        <v>46144</v>
      </c>
      <c r="B20" s="8" t="inlineStr">
        <is>
          <t>비용</t>
        </is>
      </c>
      <c r="C20" s="8" t="inlineStr">
        <is>
          <t>재료비</t>
        </is>
      </c>
      <c r="D20" s="9" t="inlineStr">
        <is>
          <t>원두·우유·재료</t>
        </is>
      </c>
      <c r="E20" s="10" t="n">
        <v>1850000</v>
      </c>
    </row>
    <row r="21">
      <c r="A21" s="3" t="n">
        <v>46152</v>
      </c>
      <c r="B21" s="4" t="inlineStr">
        <is>
          <t>매출</t>
        </is>
      </c>
      <c r="C21" s="4" t="inlineStr">
        <is>
          <t>음료</t>
        </is>
      </c>
      <c r="D21" s="5" t="inlineStr">
        <is>
          <t>주중 음료 매출</t>
        </is>
      </c>
      <c r="E21" s="6" t="n">
        <v>2940000</v>
      </c>
    </row>
    <row r="22">
      <c r="A22" s="7" t="n">
        <v>46155</v>
      </c>
      <c r="B22" s="8" t="inlineStr">
        <is>
          <t>비용</t>
        </is>
      </c>
      <c r="C22" s="8" t="inlineStr">
        <is>
          <t>마케팅</t>
        </is>
      </c>
      <c r="D22" s="9" t="inlineStr">
        <is>
          <t>인스타 광고</t>
        </is>
      </c>
      <c r="E22" s="10" t="n">
        <v>500000</v>
      </c>
    </row>
    <row r="23">
      <c r="A23" s="3" t="n">
        <v>46161</v>
      </c>
      <c r="B23" s="4" t="inlineStr">
        <is>
          <t>매출</t>
        </is>
      </c>
      <c r="C23" s="4" t="inlineStr">
        <is>
          <t>디저트</t>
        </is>
      </c>
      <c r="D23" s="5" t="inlineStr">
        <is>
          <t>케이크·쿠키</t>
        </is>
      </c>
      <c r="E23" s="6" t="n">
        <v>2250000</v>
      </c>
    </row>
    <row r="24">
      <c r="A24" s="7" t="n">
        <v>46166</v>
      </c>
      <c r="B24" s="8" t="inlineStr">
        <is>
          <t>매출</t>
        </is>
      </c>
      <c r="C24" s="8" t="inlineStr">
        <is>
          <t>음료</t>
        </is>
      </c>
      <c r="D24" s="9" t="inlineStr">
        <is>
          <t>주말 음료 매출</t>
        </is>
      </c>
      <c r="E24" s="10" t="n">
        <v>2600000</v>
      </c>
    </row>
    <row r="25">
      <c r="A25" s="3" t="n">
        <v>46168</v>
      </c>
      <c r="B25" s="4" t="inlineStr">
        <is>
          <t>비용</t>
        </is>
      </c>
      <c r="C25" s="4" t="inlineStr">
        <is>
          <t>인건비</t>
        </is>
      </c>
      <c r="D25" s="5" t="inlineStr">
        <is>
          <t>아르바이트 급여</t>
        </is>
      </c>
      <c r="E25" s="6" t="n">
        <v>1950000</v>
      </c>
    </row>
    <row r="26">
      <c r="A26" s="7" t="n">
        <v>46171</v>
      </c>
      <c r="B26" s="8" t="inlineStr">
        <is>
          <t>매출</t>
        </is>
      </c>
      <c r="C26" s="8" t="inlineStr">
        <is>
          <t>원두판매</t>
        </is>
      </c>
      <c r="D26" s="9" t="inlineStr">
        <is>
          <t>원두 소매</t>
        </is>
      </c>
      <c r="E26" s="10" t="n">
        <v>820000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6" customHeight="1">
      <c r="A1" s="1" t="inlineStr">
        <is>
          <t>월별 손익 요약 (SUMIFS)</t>
        </is>
      </c>
    </row>
    <row r="3">
      <c r="A3" s="2" t="inlineStr">
        <is>
          <t>월</t>
        </is>
      </c>
      <c r="B3" s="2" t="inlineStr">
        <is>
          <t>매출</t>
        </is>
      </c>
      <c r="C3" s="2" t="inlineStr">
        <is>
          <t>비용</t>
        </is>
      </c>
      <c r="D3" s="2" t="inlineStr">
        <is>
          <t>영업이익</t>
        </is>
      </c>
    </row>
    <row r="4">
      <c r="A4" s="8" t="inlineStr">
        <is>
          <t>3월</t>
        </is>
      </c>
      <c r="B4" s="10">
        <f>SUMIFS('원본'!$E:$E,'원본'!$B:$B,"매출",'원본'!$A:$A,"&gt;="&amp;DATE(2026,3,1),'원본'!$A:$A,"&lt;"&amp;DATE(2026,4,1))</f>
        <v/>
      </c>
      <c r="C4" s="10">
        <f>SUMIFS('원본'!$E:$E,'원본'!$B:$B,"비용",'원본'!$A:$A,"&gt;="&amp;DATE(2026,3,1),'원본'!$A:$A,"&lt;"&amp;DATE(2026,4,1))</f>
        <v/>
      </c>
      <c r="D4" s="10">
        <f>B4-C4</f>
        <v/>
      </c>
    </row>
    <row r="5">
      <c r="A5" s="4" t="inlineStr">
        <is>
          <t>4월</t>
        </is>
      </c>
      <c r="B5" s="6">
        <f>SUMIFS('원본'!$E:$E,'원본'!$B:$B,"매출",'원본'!$A:$A,"&gt;="&amp;DATE(2026,4,1),'원본'!$A:$A,"&lt;"&amp;DATE(2026,5,1))</f>
        <v/>
      </c>
      <c r="C5" s="6">
        <f>SUMIFS('원본'!$E:$E,'원본'!$B:$B,"비용",'원본'!$A:$A,"&gt;="&amp;DATE(2026,4,1),'원본'!$A:$A,"&lt;"&amp;DATE(2026,5,1))</f>
        <v/>
      </c>
      <c r="D5" s="6">
        <f>B5-C5</f>
        <v/>
      </c>
    </row>
    <row r="6">
      <c r="A6" s="8" t="inlineStr">
        <is>
          <t>5월</t>
        </is>
      </c>
      <c r="B6" s="10">
        <f>SUMIFS('원본'!$E:$E,'원본'!$B:$B,"매출",'원본'!$A:$A,"&gt;="&amp;DATE(2026,5,1),'원본'!$A:$A,"&lt;"&amp;DATE(2026,6,1))</f>
        <v/>
      </c>
      <c r="C6" s="10">
        <f>SUMIFS('원본'!$E:$E,'원본'!$B:$B,"비용",'원본'!$A:$A,"&gt;="&amp;DATE(2026,5,1),'원본'!$A:$A,"&lt;"&amp;DATE(2026,6,1))</f>
        <v/>
      </c>
      <c r="D6" s="10">
        <f>B6-C6</f>
        <v/>
      </c>
    </row>
    <row r="7">
      <c r="A7" s="11" t="inlineStr">
        <is>
          <t>합계</t>
        </is>
      </c>
      <c r="B7" s="12">
        <f>SUM(B4:B6)</f>
        <v/>
      </c>
      <c r="C7" s="12">
        <f>SUM(C4:C6)</f>
        <v/>
      </c>
      <c r="D7" s="12">
        <f>SUM(D4:D6)</f>
        <v/>
      </c>
    </row>
    <row r="9">
      <c r="A9" s="13" t="inlineStr">
        <is>
          <t>카테고리별 매출 (피벗)</t>
        </is>
      </c>
    </row>
    <row r="10">
      <c r="A10" s="14" t="inlineStr">
        <is>
          <t>카테고리</t>
        </is>
      </c>
      <c r="B10" s="14" t="inlineStr">
        <is>
          <t>3월</t>
        </is>
      </c>
      <c r="C10" s="14" t="inlineStr">
        <is>
          <t>4월</t>
        </is>
      </c>
      <c r="D10" s="14" t="inlineStr">
        <is>
          <t>5월</t>
        </is>
      </c>
      <c r="E10" s="14" t="inlineStr">
        <is>
          <t>합계</t>
        </is>
      </c>
    </row>
    <row r="11">
      <c r="A11" s="5" t="inlineStr">
        <is>
          <t>음료</t>
        </is>
      </c>
      <c r="B11" s="6">
        <f>SUMIFS('원본'!$E:$E,'원본'!$C:$C,$A11,'원본'!$B:$B,"매출",'원본'!$A:$A,"&gt;="&amp;DATE(2026,3,1),'원본'!$A:$A,"&lt;"&amp;DATE(2026,4,1))</f>
        <v/>
      </c>
      <c r="C11" s="6">
        <f>SUMIFS('원본'!$E:$E,'원본'!$C:$C,$A11,'원본'!$B:$B,"매출",'원본'!$A:$A,"&gt;="&amp;DATE(2026,4,1),'원본'!$A:$A,"&lt;"&amp;DATE(2026,5,1))</f>
        <v/>
      </c>
      <c r="D11" s="6">
        <f>SUMIFS('원본'!$E:$E,'원본'!$C:$C,$A11,'원본'!$B:$B,"매출",'원본'!$A:$A,"&gt;="&amp;DATE(2026,5,1),'원본'!$A:$A,"&lt;"&amp;DATE(2026,6,1))</f>
        <v/>
      </c>
      <c r="E11" s="15">
        <f>SUM(B11:D11)</f>
        <v/>
      </c>
    </row>
    <row r="12">
      <c r="A12" s="9" t="inlineStr">
        <is>
          <t>디저트</t>
        </is>
      </c>
      <c r="B12" s="10">
        <f>SUMIFS('원본'!$E:$E,'원본'!$C:$C,$A12,'원본'!$B:$B,"매출",'원본'!$A:$A,"&gt;="&amp;DATE(2026,3,1),'원본'!$A:$A,"&lt;"&amp;DATE(2026,4,1))</f>
        <v/>
      </c>
      <c r="C12" s="10">
        <f>SUMIFS('원본'!$E:$E,'원본'!$C:$C,$A12,'원본'!$B:$B,"매출",'원본'!$A:$A,"&gt;="&amp;DATE(2026,4,1),'원본'!$A:$A,"&lt;"&amp;DATE(2026,5,1))</f>
        <v/>
      </c>
      <c r="D12" s="10">
        <f>SUMIFS('원본'!$E:$E,'원본'!$C:$C,$A12,'원본'!$B:$B,"매출",'원본'!$A:$A,"&gt;="&amp;DATE(2026,5,1),'원본'!$A:$A,"&lt;"&amp;DATE(2026,6,1))</f>
        <v/>
      </c>
      <c r="E12" s="16">
        <f>SUM(B12:D12)</f>
        <v/>
      </c>
    </row>
    <row r="13">
      <c r="A13" s="5" t="inlineStr">
        <is>
          <t>원두판매</t>
        </is>
      </c>
      <c r="B13" s="6">
        <f>SUMIFS('원본'!$E:$E,'원본'!$C:$C,$A13,'원본'!$B:$B,"매출",'원본'!$A:$A,"&gt;="&amp;DATE(2026,3,1),'원본'!$A:$A,"&lt;"&amp;DATE(2026,4,1))</f>
        <v/>
      </c>
      <c r="C13" s="6">
        <f>SUMIFS('원본'!$E:$E,'원본'!$C:$C,$A13,'원본'!$B:$B,"매출",'원본'!$A:$A,"&gt;="&amp;DATE(2026,4,1),'원본'!$A:$A,"&lt;"&amp;DATE(2026,5,1))</f>
        <v/>
      </c>
      <c r="D13" s="6">
        <f>SUMIFS('원본'!$E:$E,'원본'!$C:$C,$A13,'원본'!$B:$B,"매출",'원본'!$A:$A,"&gt;="&amp;DATE(2026,5,1),'원본'!$A:$A,"&lt;"&amp;DATE(2026,6,1))</f>
        <v/>
      </c>
      <c r="E13" s="15">
        <f>SUM(B13:D13)</f>
        <v/>
      </c>
    </row>
    <row r="14">
      <c r="A14" s="11" t="inlineStr">
        <is>
          <t>합계</t>
        </is>
      </c>
      <c r="B14" s="12">
        <f>SUM(B11:B13)</f>
        <v/>
      </c>
      <c r="C14" s="12">
        <f>SUM(C11:C13)</f>
        <v/>
      </c>
      <c r="D14" s="12">
        <f>SUM(D11:D13)</f>
        <v/>
      </c>
      <c r="E14" s="12">
        <f>SUM(E11:E13)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2026-06-25T02:43:52Z</dcterms:created>
  <dcterms:modified xmlns:dcterms="http://purl.org/dc/terms/" xmlns:xsi="http://www.w3.org/2001/XMLSchema-instance" xsi:type="dcterms:W3CDTF">2026-06-25T02:43:52Z</dcterms:modified>
</cp:coreProperties>
</file>